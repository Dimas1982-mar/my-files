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.marshanskiy\Desktop\Текучка  оперативка\"/>
    </mc:Choice>
  </mc:AlternateContent>
  <bookViews>
    <workbookView xWindow="0" yWindow="0" windowWidth="2160" windowHeight="0" activeTab="2"/>
  </bookViews>
  <sheets>
    <sheet name="ТаблВыгрузка" sheetId="5" r:id="rId1"/>
    <sheet name="ТаблПогрузкаМоряк" sheetId="9" r:id="rId2"/>
    <sheet name="ОтчПогрузМоряков" sheetId="10" r:id="rId3"/>
    <sheet name="Список" sheetId="3" r:id="rId4"/>
  </sheets>
  <definedNames>
    <definedName name="_xlcn.Связаннаятаблица_Таблица11" hidden="1">Таблица1</definedName>
    <definedName name="_xlcn.Связаннаятаблица_Таблица161" hidden="1">Таблица16[]</definedName>
    <definedName name="_xlcn.Связаннаятаблица_Таблица1631" hidden="1">Таблица163[]</definedName>
    <definedName name="Срез_Вес_по__B\L">#N/A</definedName>
    <definedName name="Срез_Дата__составления__B\L">#N/A</definedName>
    <definedName name="Срез_Дата__составления__B\L_Морского_Судна">#N/A</definedName>
    <definedName name="Срез_Дата__составления__B\L_Морского_Судна1">#N/A</definedName>
    <definedName name="Срез_месяц2">#N/A</definedName>
    <definedName name="Срез_Морское_Судно">#N/A</definedName>
    <definedName name="Срез_Морское_Судно1">#N/A</definedName>
    <definedName name="Срез_Накопитель1">#N/A</definedName>
    <definedName name="Срез_Операция">#N/A</definedName>
    <definedName name="Срез_Произв.Неделя">#N/A</definedName>
    <definedName name="Срез_ТХ">#N/A</definedName>
  </definedNames>
  <calcPr calcId="162913"/>
  <pivotCaches>
    <pivotCache cacheId="55" r:id="rId5"/>
  </pivotCaches>
  <extLst>
    <ext xmlns:x14="http://schemas.microsoft.com/office/spreadsheetml/2009/9/main" uri="{876F7934-8845-4945-9796-88D515C7AA90}">
      <x14:pivotCaches>
        <pivotCache cacheId="27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63" name="ТаблПогрузкаМоряк" connection="Связанная таблица_Таблица163"/>
          <x15:modelTable id="Таблица16" name="ТаблВыгрузка" connection="Связанная таблица_Таблица16"/>
          <x15:modelTable id="Таблица1" name="ТаблПогруз" connection="Связанная таблица_Таблица1"/>
        </x15:modelTables>
        <x15:modelRelationships>
          <x15:modelRelationship fromTable="ТаблВыгрузка" fromColumn="Id key" toTable="ТаблПогруз" toColumn="Id"/>
          <x15:modelRelationship fromTable="ТаблПогрузкаМоряк" fromColumn="Id key" toTable="ТаблПогруз" toColumn="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ТаблПогруз" columnName="Дата  составления  B\L" columnId="Дата  составления  B L">
                <x16:calculatedTimeColumn columnName="Дата  составления  B\L (Год)" columnId="Дата  составления  B L (Год)" contentType="years" isSelected="1"/>
                <x16:calculatedTimeColumn columnName="Дата  составления  B\L (Квартал)" columnId="Дата  составления  B L (Квартал)" contentType="quarters" isSelected="1"/>
                <x16:calculatedTimeColumn columnName="Дата  составления  B\L (Индекс месяца)" columnId="Дата  составления  B L (Индекс месяца)" contentType="monthsindex" isSelected="1"/>
                <x16:calculatedTimeColumn columnName="Дата  составления  B\L (Месяц)" columnId="Дата  составления  B L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M63" i="9" l="1"/>
  <c r="N63" i="9"/>
  <c r="O63" i="9"/>
  <c r="M62" i="9"/>
  <c r="N62" i="9"/>
  <c r="O62" i="9"/>
  <c r="M61" i="9" l="1"/>
  <c r="N61" i="9"/>
  <c r="O61" i="9"/>
  <c r="K60" i="5" l="1"/>
  <c r="K59" i="5"/>
  <c r="K58" i="5"/>
  <c r="K57" i="5"/>
  <c r="K56" i="5" l="1"/>
  <c r="K55" i="5" l="1"/>
  <c r="K54" i="5" l="1"/>
  <c r="M60" i="9" l="1"/>
  <c r="N60" i="9"/>
  <c r="O60" i="9"/>
  <c r="M59" i="9"/>
  <c r="N59" i="9"/>
  <c r="O59" i="9"/>
  <c r="M58" i="9"/>
  <c r="N58" i="9"/>
  <c r="O58" i="9"/>
  <c r="M57" i="9"/>
  <c r="N57" i="9"/>
  <c r="O57" i="9"/>
  <c r="M56" i="9"/>
  <c r="N56" i="9"/>
  <c r="O56" i="9"/>
  <c r="M55" i="9"/>
  <c r="N55" i="9"/>
  <c r="O55" i="9"/>
  <c r="K53" i="5" l="1"/>
  <c r="K52" i="5"/>
  <c r="K51" i="5"/>
  <c r="K41" i="5" l="1"/>
  <c r="K42" i="5" l="1"/>
  <c r="K50" i="5"/>
  <c r="K49" i="5"/>
  <c r="K48" i="5"/>
  <c r="K47" i="5" l="1"/>
  <c r="K46" i="5" l="1"/>
  <c r="K45" i="5"/>
  <c r="M54" i="9" l="1"/>
  <c r="N54" i="9"/>
  <c r="O54" i="9"/>
  <c r="M53" i="9"/>
  <c r="N53" i="9"/>
  <c r="O53" i="9"/>
  <c r="M52" i="9"/>
  <c r="N52" i="9"/>
  <c r="O52" i="9"/>
  <c r="M51" i="9"/>
  <c r="N51" i="9"/>
  <c r="O51" i="9"/>
  <c r="M50" i="9"/>
  <c r="N50" i="9"/>
  <c r="O50" i="9"/>
  <c r="M49" i="9"/>
  <c r="N49" i="9"/>
  <c r="O49" i="9"/>
  <c r="M48" i="9"/>
  <c r="N48" i="9"/>
  <c r="O48" i="9"/>
  <c r="M47" i="9"/>
  <c r="N47" i="9"/>
  <c r="O47" i="9"/>
  <c r="M46" i="9"/>
  <c r="N46" i="9"/>
  <c r="O46" i="9"/>
  <c r="M45" i="9"/>
  <c r="N45" i="9"/>
  <c r="O45" i="9"/>
  <c r="M44" i="9"/>
  <c r="N44" i="9"/>
  <c r="O44" i="9"/>
  <c r="M43" i="9"/>
  <c r="N43" i="9"/>
  <c r="O43" i="9"/>
  <c r="K43" i="5" l="1"/>
  <c r="K44" i="5"/>
  <c r="K40" i="5" l="1"/>
  <c r="K39" i="5"/>
  <c r="K31" i="5" l="1"/>
  <c r="K38" i="5" l="1"/>
  <c r="M42" i="9" l="1"/>
  <c r="N42" i="9"/>
  <c r="O42" i="9"/>
  <c r="M41" i="9"/>
  <c r="N41" i="9"/>
  <c r="O41" i="9"/>
  <c r="M40" i="9"/>
  <c r="N40" i="9"/>
  <c r="O40" i="9"/>
  <c r="M39" i="9"/>
  <c r="N39" i="9"/>
  <c r="O39" i="9"/>
  <c r="M38" i="9"/>
  <c r="N38" i="9"/>
  <c r="O38" i="9"/>
  <c r="M37" i="9"/>
  <c r="N37" i="9"/>
  <c r="O37" i="9"/>
  <c r="M36" i="9"/>
  <c r="N36" i="9"/>
  <c r="O36" i="9"/>
  <c r="M35" i="9"/>
  <c r="N35" i="9"/>
  <c r="O35" i="9"/>
  <c r="M34" i="9"/>
  <c r="N34" i="9"/>
  <c r="O34" i="9"/>
  <c r="M33" i="9"/>
  <c r="N33" i="9"/>
  <c r="O33" i="9"/>
  <c r="K37" i="5"/>
  <c r="K36" i="5"/>
  <c r="K35" i="5" l="1"/>
  <c r="K34" i="5" l="1"/>
  <c r="K33" i="5"/>
  <c r="F33" i="3" l="1"/>
  <c r="K32" i="5" l="1"/>
  <c r="K30" i="5"/>
  <c r="K29" i="5"/>
  <c r="K28" i="5" l="1"/>
  <c r="K26" i="5" l="1"/>
  <c r="K27" i="5"/>
  <c r="M30" i="9" l="1"/>
  <c r="M31" i="9"/>
  <c r="M32" i="9"/>
  <c r="N30" i="9"/>
  <c r="N31" i="9"/>
  <c r="N32" i="9"/>
  <c r="O30" i="9"/>
  <c r="O31" i="9"/>
  <c r="O32" i="9"/>
  <c r="M29" i="9"/>
  <c r="N29" i="9"/>
  <c r="O29" i="9"/>
  <c r="M28" i="9"/>
  <c r="N28" i="9"/>
  <c r="O28" i="9"/>
  <c r="M27" i="9"/>
  <c r="N27" i="9"/>
  <c r="O27" i="9"/>
  <c r="M26" i="9"/>
  <c r="N26" i="9"/>
  <c r="O26" i="9"/>
  <c r="M25" i="9"/>
  <c r="N25" i="9"/>
  <c r="O25" i="9"/>
  <c r="M24" i="9"/>
  <c r="N24" i="9"/>
  <c r="O24" i="9"/>
  <c r="K25" i="5"/>
  <c r="K24" i="5" l="1"/>
  <c r="K23" i="5"/>
  <c r="O8" i="9" l="1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D6" i="9" l="1"/>
  <c r="K9" i="5" l="1"/>
  <c r="K13" i="5" l="1"/>
  <c r="K19" i="5" l="1"/>
  <c r="K22" i="5" l="1"/>
  <c r="K21" i="5"/>
  <c r="K20" i="5" l="1"/>
  <c r="K18" i="5"/>
  <c r="K17" i="5" l="1"/>
  <c r="K16" i="5"/>
  <c r="K15" i="5" l="1"/>
  <c r="K8" i="5" l="1"/>
  <c r="K10" i="5"/>
  <c r="K11" i="5"/>
  <c r="K12" i="5"/>
  <c r="K14" i="5"/>
  <c r="D60" i="5" l="1"/>
  <c r="D58" i="5"/>
  <c r="D57" i="5"/>
  <c r="D59" i="5"/>
  <c r="D56" i="5"/>
  <c r="D55" i="5"/>
  <c r="D54" i="5"/>
  <c r="D52" i="5"/>
  <c r="D51" i="5"/>
  <c r="D53" i="5"/>
  <c r="D41" i="5"/>
  <c r="D42" i="5"/>
  <c r="D50" i="5"/>
  <c r="D48" i="5"/>
  <c r="D49" i="5"/>
  <c r="D47" i="5"/>
  <c r="D45" i="5"/>
  <c r="D46" i="5"/>
  <c r="D44" i="5"/>
  <c r="D43" i="5"/>
  <c r="D40" i="5"/>
  <c r="D39" i="5"/>
  <c r="D31" i="5"/>
  <c r="D38" i="5"/>
  <c r="D36" i="5"/>
  <c r="D37" i="5"/>
  <c r="D35" i="5"/>
  <c r="D34" i="5"/>
  <c r="D33" i="5"/>
  <c r="D32" i="5"/>
  <c r="D30" i="5"/>
  <c r="D29" i="5"/>
  <c r="D27" i="5"/>
  <c r="D26" i="5"/>
  <c r="D28" i="5"/>
  <c r="D25" i="5"/>
  <c r="D11" i="3" l="1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  <connection id="3" name="Связанная таблица_Таблица16" type="102" refreshedVersion="6" minRefreshableVersion="5">
    <extLst>
      <ext xmlns:x15="http://schemas.microsoft.com/office/spreadsheetml/2010/11/main" uri="{DE250136-89BD-433C-8126-D09CA5730AF9}">
        <x15:connection id="Таблица16">
          <x15:rangePr sourceName="_xlcn.Связаннаятаблица_Таблица161"/>
        </x15:connection>
      </ext>
    </extLst>
  </connection>
  <connection id="4" name="Связанная таблица_Таблица163" type="102" refreshedVersion="6" minRefreshableVersion="5">
    <extLst>
      <ext xmlns:x15="http://schemas.microsoft.com/office/spreadsheetml/2010/11/main" uri="{DE250136-89BD-433C-8126-D09CA5730AF9}">
        <x15:connection id="Таблица163">
          <x15:rangePr sourceName="_xlcn.Связаннаятаблица_Таблица1631"/>
        </x15:connection>
      </ext>
    </extLst>
  </connection>
</connections>
</file>

<file path=xl/sharedStrings.xml><?xml version="1.0" encoding="utf-8"?>
<sst xmlns="http://schemas.openxmlformats.org/spreadsheetml/2006/main" count="834" uniqueCount="145">
  <si>
    <t xml:space="preserve">ТХ </t>
  </si>
  <si>
    <t>т/х Дон Стар 1 ИМО 8866735</t>
  </si>
  <si>
    <t>т/х Дон Стар 2 ИМО 7911480</t>
  </si>
  <si>
    <t>т/х Дон Стар 3 ИМО 7911507</t>
  </si>
  <si>
    <t>т/х Дон Стар 4 ИМО 7911478</t>
  </si>
  <si>
    <t>т/х Дон Стар 5 ИМО 8955469</t>
  </si>
  <si>
    <t>т/х Дон Стар 6 ИМО 8951396</t>
  </si>
  <si>
    <t>т/х Дон Стар 7 ИМО 8844153</t>
  </si>
  <si>
    <t>т/х Дон Стар 8 ИМО 8884957</t>
  </si>
  <si>
    <t>т/х Герой И.И.Петров//нб Балтис ИМО  2186884</t>
  </si>
  <si>
    <t>Погрузка</t>
  </si>
  <si>
    <t>Волго-Дон 5079 ИМО 8852784</t>
  </si>
  <si>
    <t>m/v April 9 ИМО 8319392</t>
  </si>
  <si>
    <t>m/v Trackhound ИМО 9218052</t>
  </si>
  <si>
    <t>m/v Babylon ИМО 8902474</t>
  </si>
  <si>
    <t>m/v Loris ИМО 8902436</t>
  </si>
  <si>
    <t>m/v ASOMATOS ИМО 9289855</t>
  </si>
  <si>
    <t xml:space="preserve">Дата  начала  грузовых операций  </t>
  </si>
  <si>
    <t xml:space="preserve">Дата  окончания грузовых операций  </t>
  </si>
  <si>
    <t>Вес по  B\L</t>
  </si>
  <si>
    <t>Архив</t>
  </si>
  <si>
    <t xml:space="preserve">Отправитель   </t>
  </si>
  <si>
    <t>ООО «Ресурс Агро Трейдинг»</t>
  </si>
  <si>
    <t>ООО Родные Поля</t>
  </si>
  <si>
    <t xml:space="preserve">Накопитель </t>
  </si>
  <si>
    <t xml:space="preserve"> т/х Ugah Confidence</t>
  </si>
  <si>
    <t>т/х В.Успенский   ИМО 8946389</t>
  </si>
  <si>
    <t>т/х Волго-Дон 217 ИМО 8946377</t>
  </si>
  <si>
    <t xml:space="preserve"> т/х Н.Мешков ИМО 8862507</t>
  </si>
  <si>
    <t>Следует на выгрузку</t>
  </si>
  <si>
    <t xml:space="preserve">СЕВЕР КЕК . Загружен . </t>
  </si>
  <si>
    <t>ЮГ КЕК .Загружен</t>
  </si>
  <si>
    <t>Выгрузка</t>
  </si>
  <si>
    <t>ЮГ КЕК .Выгружен</t>
  </si>
  <si>
    <t>Прямой рейс . Следует на выгрузку</t>
  </si>
  <si>
    <t>Ожидание погрузки .</t>
  </si>
  <si>
    <t>Ожидание Разгрузки</t>
  </si>
  <si>
    <t>NOR Разгрузка</t>
  </si>
  <si>
    <t>Id key</t>
  </si>
  <si>
    <t>Дата  составления  B\L речник</t>
  </si>
  <si>
    <t xml:space="preserve">Дата направления уведомления </t>
  </si>
  <si>
    <t>Статус</t>
  </si>
  <si>
    <t>Операция</t>
  </si>
  <si>
    <t xml:space="preserve"> т/х Волжский 33 ИМО 8955641</t>
  </si>
  <si>
    <t>Остановка  погрузки. Метео .</t>
  </si>
  <si>
    <t>Остановка  погрузки. Ожидание груза.</t>
  </si>
  <si>
    <t>Общий итог</t>
  </si>
  <si>
    <t>Ремонт</t>
  </si>
  <si>
    <t xml:space="preserve"> Прошел КЕК. Следует  на погрузку.  </t>
  </si>
  <si>
    <t>Прямой рейс . На рейде порта  выгрузки</t>
  </si>
  <si>
    <t xml:space="preserve">Вес  выгруженный в накопитель </t>
  </si>
  <si>
    <t xml:space="preserve">     </t>
  </si>
  <si>
    <t xml:space="preserve">  </t>
  </si>
  <si>
    <t xml:space="preserve">Прошел КЕК. Следует  на погрузку.  </t>
  </si>
  <si>
    <t>Ожидание убытия в рейс.</t>
  </si>
  <si>
    <t xml:space="preserve">На рейде порта погрузки </t>
  </si>
  <si>
    <t>Выгружен.Следует на погрузку.</t>
  </si>
  <si>
    <t>Ожидание каравана ТФК1 (Север КЕК)</t>
  </si>
  <si>
    <t>Ожидание каравана ТФК2 (Должанка)</t>
  </si>
  <si>
    <t xml:space="preserve">m/v Zaltron ИМО 9114139 </t>
  </si>
  <si>
    <t>Вес  погруженный</t>
  </si>
  <si>
    <t>Волго-Дон 5079 ИМО 8852784/46019</t>
  </si>
  <si>
    <t>т/х Дон Стар 2 ИМО 7911480/46035</t>
  </si>
  <si>
    <t>т/х В.Успенский   ИМО 8946389/46030</t>
  </si>
  <si>
    <t>т/х Дон Стар 4 ИМО 7911478/46035</t>
  </si>
  <si>
    <t>т/х Дон Стар 1 ИМО 8866735/46039</t>
  </si>
  <si>
    <t>Морское Судно</t>
  </si>
  <si>
    <t>Дата  составления  B\L Морского Судна</t>
  </si>
  <si>
    <t>Волго-Дон 5079 ИМО 8852784/45976</t>
  </si>
  <si>
    <t>m/v Nour Star ИМО 9296315</t>
  </si>
  <si>
    <t>т/х Дон Стар 7 ИМО 8844153/46003</t>
  </si>
  <si>
    <t>т/х Дон Стар 8 ИМО 8884957/46007</t>
  </si>
  <si>
    <t>т/х Дон Стар 6 ИМО 8951396/46009</t>
  </si>
  <si>
    <t>т/х Дон Стар 5 ИМО 8955469/46011</t>
  </si>
  <si>
    <t>т/х Дон Стар 4 ИМО 7911478/46009</t>
  </si>
  <si>
    <t>т/х Дон Стар 1 ИМО 8866735/46013</t>
  </si>
  <si>
    <t>т/х Дон Стар 8 ИМО 8884957/46018</t>
  </si>
  <si>
    <t>т/х Дон Стар 6 ИМО 8951396/46025</t>
  </si>
  <si>
    <t>Порт  погрузки</t>
  </si>
  <si>
    <t xml:space="preserve">Речное судно </t>
  </si>
  <si>
    <t>Дата  составления  B\L речника</t>
  </si>
  <si>
    <t>Вес по  B\L речника</t>
  </si>
  <si>
    <t xml:space="preserve"> Вес погр в Морское Судно </t>
  </si>
  <si>
    <t xml:space="preserve">В накопителе </t>
  </si>
  <si>
    <t>Произв.Неделя</t>
  </si>
  <si>
    <t>месяц</t>
  </si>
  <si>
    <t>год</t>
  </si>
  <si>
    <t>Следует в Караване на ВХОД АДМК</t>
  </si>
  <si>
    <t>Следует в Азовском море</t>
  </si>
  <si>
    <t xml:space="preserve">Ожидание Выгрузки </t>
  </si>
  <si>
    <t>т/х Волго-Дон 217 ИМО 8946377/46021</t>
  </si>
  <si>
    <t>т/х Дон Стар 5 ИМО 8955469/45997</t>
  </si>
  <si>
    <t>Волго-Дон 5079 ИМО 8852784/45999</t>
  </si>
  <si>
    <t>т/х Дон Стар 7 ИМО 8844153/46017</t>
  </si>
  <si>
    <t>т/х Дон Стар 5 ИМО 8955469/46022</t>
  </si>
  <si>
    <t>т/х Дон Стар 2 ИМО 7911480/46020</t>
  </si>
  <si>
    <t>т/х Дон Стар 2 ИМО 7911480/46049</t>
  </si>
  <si>
    <t>т/х Астра Меридиан ИМО8721399</t>
  </si>
  <si>
    <t>т/х Святой Спиридон ИМО9087104</t>
  </si>
  <si>
    <t>т/х Дон 7111420</t>
  </si>
  <si>
    <t>т/х Волго-Дон 5011 ИМО8951310</t>
  </si>
  <si>
    <t> EVRIKA (IMO: 9154567,</t>
  </si>
  <si>
    <t>m/v Evrika ИМО 9154567</t>
  </si>
  <si>
    <t>т/х В.Успенский   ИМО 8946389/46054</t>
  </si>
  <si>
    <t>т/х Дон Стар 2 ИМО 7911480/46069</t>
  </si>
  <si>
    <t>т/х Дон Стар 5 ИМО 8955469/46067</t>
  </si>
  <si>
    <t>т/х Дон Стар 6 ИМО 8951396/46038</t>
  </si>
  <si>
    <t>т/х Дон Стар 5 ИМО 8955469/46049</t>
  </si>
  <si>
    <t>т/х Дон Стар 7 ИМО 8844153/46077</t>
  </si>
  <si>
    <t>т/х Дон Стар 2 ИМО 7911480/46081</t>
  </si>
  <si>
    <t>т/х Волго-Дон 217 ИМО 8946377/46080</t>
  </si>
  <si>
    <t>т/х Дон 7111420/46082</t>
  </si>
  <si>
    <t>Отправитель. Речник</t>
  </si>
  <si>
    <t xml:space="preserve">Отправитель.Моряк </t>
  </si>
  <si>
    <t>т/х Волго-Дон 5043 ИМО8866321</t>
  </si>
  <si>
    <t>т/х Абрамцево ИМО8947955</t>
  </si>
  <si>
    <t>т/х Волго-Дон5007 ИМО8951310</t>
  </si>
  <si>
    <t>т/х Дон Стар 5 ИМО 8955469/46082</t>
  </si>
  <si>
    <t>т/х Дон Стар 4 ИМО 7911478/46083</t>
  </si>
  <si>
    <t>т/х Астра Меридиан ИМО8721399/46086</t>
  </si>
  <si>
    <t>т/х Волго-Дон 5011 ИМО8951310/46088</t>
  </si>
  <si>
    <t>т/х Дон Стар 7 ИМО 8844153/46090</t>
  </si>
  <si>
    <t>т/х В.Успенский   ИМО 8946389/46088</t>
  </si>
  <si>
    <t>т/х Святой Спиридон ИМО9087104/46089</t>
  </si>
  <si>
    <t>т/х Дон 7111420/46090</t>
  </si>
  <si>
    <t>Волго-Дон 5079 ИМО 8852784/46091</t>
  </si>
  <si>
    <t>т/х Дон Стар 4 ИМО 7911478/46092</t>
  </si>
  <si>
    <t>т/х Дон Стар 5 ИМО 8955469/46091</t>
  </si>
  <si>
    <t xml:space="preserve">Прямая перевалка </t>
  </si>
  <si>
    <t xml:space="preserve">Перевалка через накопитель </t>
  </si>
  <si>
    <t>Порт Прибой</t>
  </si>
  <si>
    <t>т/х Соммерс ИМО7111420</t>
  </si>
  <si>
    <t>т/х Линда1 ИМО8951334</t>
  </si>
  <si>
    <t>т/х Волго-Дон219 ИМО8959207</t>
  </si>
  <si>
    <t>т/х Дон Стар 2 ИМО 7911480/46093</t>
  </si>
  <si>
    <t>т/х Волго-Дон 5043 ИМО8866321/46096</t>
  </si>
  <si>
    <t>т/х Святой Спиридон ИМО9087104/46098</t>
  </si>
  <si>
    <t>т/х Дон 7111420/46096</t>
  </si>
  <si>
    <t>Волго-Дон 5079 ИМО 8852784/46099</t>
  </si>
  <si>
    <t>ВТП</t>
  </si>
  <si>
    <t>т/х Волго-Дон219 ИМО8959207/46113</t>
  </si>
  <si>
    <t>m/v Ariella ИМО 9229001</t>
  </si>
  <si>
    <t>т/х Дон Стар 2 ИМО 7911480/46114</t>
  </si>
  <si>
    <t>т/х Линда1 ИМО8951334/46108</t>
  </si>
  <si>
    <t>m/v Zaltron ИМО 9114139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</si>
</sst>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0"/>
    <numFmt numFmtId="165" formatCode="dd/mm/yy\ h:mm;@"/>
    <numFmt numFmtId="166" formatCode="m/d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8">
    <xf numFmtId="0" fontId="0" fillId="0" borderId="0" xfId="0"/>
    <xf numFmtId="14" fontId="0" fillId="0" borderId="0" xfId="0" applyNumberForma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6" xfId="0" applyNumberFormat="1" applyBorder="1"/>
    <xf numFmtId="3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0" xfId="0" applyNumberFormat="1"/>
    <xf numFmtId="164" fontId="0" fillId="0" borderId="5" xfId="0" applyNumberFormat="1" applyBorder="1" applyAlignment="1">
      <alignment horizontal="center" wrapText="1"/>
    </xf>
    <xf numFmtId="165" fontId="0" fillId="0" borderId="5" xfId="0" applyNumberFormat="1" applyBorder="1" applyAlignment="1">
      <alignment horizontal="center" wrapText="1"/>
    </xf>
    <xf numFmtId="165" fontId="0" fillId="0" borderId="1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0" xfId="0" applyNumberFormat="1"/>
    <xf numFmtId="14" fontId="0" fillId="0" borderId="5" xfId="0" applyNumberFormat="1" applyBorder="1" applyAlignment="1">
      <alignment horizontal="center" wrapText="1"/>
    </xf>
    <xf numFmtId="14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0" xfId="0" pivotButton="1" applyAlignment="1">
      <alignment horizontal="center"/>
    </xf>
    <xf numFmtId="0" fontId="0" fillId="0" borderId="0" xfId="0" pivotButton="1" applyAlignment="1">
      <alignment horizontal="center" wrapText="1"/>
    </xf>
    <xf numFmtId="1" fontId="0" fillId="0" borderId="0" xfId="0" applyNumberFormat="1"/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6" fontId="0" fillId="0" borderId="2" xfId="0" applyNumberFormat="1" applyBorder="1" applyAlignment="1">
      <alignment horizontal="center"/>
    </xf>
    <xf numFmtId="166" fontId="0" fillId="0" borderId="6" xfId="0" applyNumberFormat="1" applyBorder="1"/>
    <xf numFmtId="0" fontId="0" fillId="0" borderId="0" xfId="0" pivotButton="1"/>
    <xf numFmtId="0" fontId="0" fillId="0" borderId="8" xfId="0" applyBorder="1" applyAlignment="1">
      <alignment horizontal="center"/>
    </xf>
    <xf numFmtId="164" fontId="0" fillId="0" borderId="1" xfId="0" applyNumberFormat="1" applyBorder="1"/>
    <xf numFmtId="1" fontId="0" fillId="0" borderId="7" xfId="0" applyNumberFormat="1" applyBorder="1" applyAlignment="1">
      <alignment horizontal="center" wrapText="1"/>
    </xf>
    <xf numFmtId="0" fontId="0" fillId="0" borderId="7" xfId="0" applyBorder="1" applyAlignment="1">
      <alignment horizontal="center"/>
    </xf>
    <xf numFmtId="166" fontId="0" fillId="0" borderId="3" xfId="0" applyNumberFormat="1" applyBorder="1"/>
    <xf numFmtId="0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4" fontId="0" fillId="0" borderId="2" xfId="0" applyNumberFormat="1" applyBorder="1"/>
    <xf numFmtId="0" fontId="0" fillId="0" borderId="1" xfId="0" applyNumberFormat="1" applyBorder="1" applyAlignment="1">
      <alignment horizontal="center" wrapText="1"/>
    </xf>
    <xf numFmtId="0" fontId="0" fillId="0" borderId="1" xfId="0" applyBorder="1"/>
    <xf numFmtId="164" fontId="0" fillId="2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625"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7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5" Type="http://schemas.microsoft.com/office/2007/relationships/slicerCache" Target="slicerCaches/slicerCache9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microsoft.com/office/2007/relationships/slicerCache" Target="slicerCaches/slicerCache4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1109768</xdr:colOff>
      <xdr:row>0</xdr:row>
      <xdr:rowOff>28576</xdr:rowOff>
    </xdr:from>
    <xdr:to>
      <xdr:col>3</xdr:col>
      <xdr:colOff>980055</xdr:colOff>
      <xdr:row>4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Морское Судно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орское Судно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14875" y="28576"/>
              <a:ext cx="1828800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827655</xdr:colOff>
      <xdr:row>0</xdr:row>
      <xdr:rowOff>9525</xdr:rowOff>
    </xdr:from>
    <xdr:to>
      <xdr:col>5</xdr:col>
      <xdr:colOff>917614</xdr:colOff>
      <xdr:row>5</xdr:row>
      <xdr:rowOff>428624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Дата  составления  B\L Морского Судн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 составления  B\L Морского Судн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9575" y="9525"/>
              <a:ext cx="1828800" cy="1371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7</xdr:row>
      <xdr:rowOff>521970</xdr:rowOff>
    </xdr:from>
    <xdr:to>
      <xdr:col>0</xdr:col>
      <xdr:colOff>1657350</xdr:colOff>
      <xdr:row>19</xdr:row>
      <xdr:rowOff>3810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Морское Судно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орское Судно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1855470"/>
              <a:ext cx="1647825" cy="2148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1905</xdr:colOff>
      <xdr:row>7</xdr:row>
      <xdr:rowOff>476250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Дата B\L Моряка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B\L Моряка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"/>
              <a:ext cx="1668780" cy="1771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19049</xdr:colOff>
      <xdr:row>0</xdr:row>
      <xdr:rowOff>36195</xdr:rowOff>
    </xdr:from>
    <xdr:to>
      <xdr:col>13</xdr:col>
      <xdr:colOff>569594</xdr:colOff>
      <xdr:row>11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Речное судно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чное судно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00909" y="36195"/>
              <a:ext cx="2585085" cy="237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15240</xdr:colOff>
      <xdr:row>0</xdr:row>
      <xdr:rowOff>45721</xdr:rowOff>
    </xdr:from>
    <xdr:to>
      <xdr:col>17</xdr:col>
      <xdr:colOff>53340</xdr:colOff>
      <xdr:row>11</xdr:row>
      <xdr:rowOff>45721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Вес по  B\L речник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с по  B\L речник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41240" y="45721"/>
              <a:ext cx="1866900" cy="2377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36195</xdr:colOff>
      <xdr:row>11</xdr:row>
      <xdr:rowOff>76200</xdr:rowOff>
    </xdr:from>
    <xdr:to>
      <xdr:col>12</xdr:col>
      <xdr:colOff>350520</xdr:colOff>
      <xdr:row>24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Дата  составления  B\L речник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 составления  B\L речник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18055" y="2453640"/>
              <a:ext cx="1739265" cy="24250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104775</xdr:colOff>
      <xdr:row>0</xdr:row>
      <xdr:rowOff>95251</xdr:rowOff>
    </xdr:from>
    <xdr:to>
      <xdr:col>1</xdr:col>
      <xdr:colOff>1933575</xdr:colOff>
      <xdr:row>5</xdr:row>
      <xdr:rowOff>171451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месяц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1650" y="95251"/>
              <a:ext cx="1828800" cy="1028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40005</xdr:colOff>
      <xdr:row>0</xdr:row>
      <xdr:rowOff>102871</xdr:rowOff>
    </xdr:from>
    <xdr:to>
      <xdr:col>2</xdr:col>
      <xdr:colOff>1868805</xdr:colOff>
      <xdr:row>5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Произв.Неделя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оизв.Недел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58565" y="102871"/>
              <a:ext cx="1828800" cy="982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20955</xdr:colOff>
      <xdr:row>1</xdr:row>
      <xdr:rowOff>13336</xdr:rowOff>
    </xdr:from>
    <xdr:to>
      <xdr:col>5</xdr:col>
      <xdr:colOff>144780</xdr:colOff>
      <xdr:row>5</xdr:row>
      <xdr:rowOff>158116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Накопитель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копител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11215" y="196216"/>
              <a:ext cx="3827145" cy="876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1851660</xdr:colOff>
      <xdr:row>0</xdr:row>
      <xdr:rowOff>30481</xdr:rowOff>
    </xdr:from>
    <xdr:to>
      <xdr:col>7</xdr:col>
      <xdr:colOff>432435</xdr:colOff>
      <xdr:row>6</xdr:row>
      <xdr:rowOff>15241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Операция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пера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09960" y="30481"/>
              <a:ext cx="1828800" cy="1082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Маршанский Дмитрий Сергеевич" refreshedDate="46119.445233217593" createdVersion="5" refreshedVersion="6" minRefreshableVersion="3" recordCount="0" supportSubquery="1" supportAdvancedDrill="1">
  <cacheSource type="external" connectionId="1"/>
  <cacheFields count="10">
    <cacheField name="[ТаблПогрузкаМоряк].[Морское Судно].[Морское Судно]" caption="Морское Судно" numFmtId="0" hierarchy="43" level="1">
      <sharedItems count="6">
        <s v="m/v Evrika ИМО 9154567"/>
        <s v="m/v Loris ИМО 8902436"/>
        <s v="m/v Zaltron ИМО 9114139"/>
        <s v="m/v Ariella ИМО 9229001" u="1"/>
        <s v="m/v April 9 ИМО 8319392" u="1"/>
        <s v="m/v Nour Star ИМО 9296315" u="1"/>
      </sharedItems>
    </cacheField>
    <cacheField name="[ТаблПогруз].[ТХ].[ТХ]" caption="ТХ" numFmtId="0" hierarchy="13" level="1">
      <sharedItems count="17">
        <s v="т/х В.Успенский   ИМО 8946389"/>
        <s v="т/х Волго-Дон 217 ИМО 8946377"/>
        <s v="т/х Дон 7111420"/>
        <s v="т/х Дон Стар 2 ИМО 7911480"/>
        <s v="т/х Дон Стар 5 ИМО 8955469"/>
        <s v="т/х Дон Стар 6 ИМО 8951396"/>
        <s v="т/х Дон Стар 7 ИМО 8844153"/>
        <s v="Волго-Дон 5079 ИМО 8852784"/>
        <s v="т/х Астра Меридиан ИМО8721399"/>
        <s v="т/х Волго-Дон 5011 ИМО8951310"/>
        <s v="т/х Дон Стар 4 ИМО 7911478"/>
        <s v="т/х Святой Спиридон ИМО9087104"/>
        <s v="т/х Волго-Дон 5043 ИМО8866321"/>
        <s v="т/х Волго-Дон219 ИМО8959207" u="1"/>
        <s v="т/х Линда1 ИМО8951334" u="1"/>
        <s v="т/х Дон Стар 1 ИМО 8866735" u="1"/>
        <s v="т/х Дон Стар 8 ИМО 8884957" u="1"/>
      </sharedItems>
    </cacheField>
    <cacheField name="[ТаблПогруз].[Порт  погрузки].[Порт  погрузки]" caption="Порт  погрузки" numFmtId="0" hierarchy="14" level="1">
      <sharedItems count="5">
        <s v="ООО Родные Поля"/>
        <s v="ВТП"/>
        <s v="Порт Прибой"/>
        <s v="РЗТ" u="1"/>
        <s v="Агропорт Устье  Дона" u="1"/>
      </sharedItems>
    </cacheField>
    <cacheField name="[Measures].[Сумма по столбцу Вес  погруженный]" caption="Сумма по столбцу Вес  погруженный" numFmtId="0" hierarchy="57" level="32767"/>
    <cacheField name="[ТаблПогруз].[Дата  составления  B\L].[Дата  составления  B\L]" caption="Дата  составления  B\L" numFmtId="0" hierarchy="22" level="1">
      <sharedItems containsSemiMixedTypes="0" containsNonDate="0" containsDate="1" containsString="0" minDate="2025-11-15T00:00:00" maxDate="2026-04-03T00:00:00" count="41">
        <d v="2026-02-01T00:00:00"/>
        <d v="2026-02-27T00:00:00"/>
        <d v="2026-03-01T00:00:00"/>
        <d v="2026-01-27T00:00:00"/>
        <d v="2026-02-16T00:00:00"/>
        <d v="2026-02-28T00:00:00"/>
        <d v="2026-02-14T00:00:00"/>
        <d v="2026-01-16T00:00:00"/>
        <d v="2026-02-24T00:00:00"/>
        <d v="2026-03-10T00:00:00"/>
        <d v="2026-03-05T00:00:00"/>
        <d v="2026-03-07T00:00:00"/>
        <d v="2026-03-09T00:00:00"/>
        <d v="2026-03-02T00:00:00"/>
        <d v="2026-03-11T00:00:00"/>
        <d v="2026-03-08T00:00:00"/>
        <d v="2026-03-18T00:00:00"/>
        <d v="2026-03-15T00:00:00"/>
        <d v="2026-03-12T00:00:00"/>
        <d v="2026-03-17T00:00:00"/>
        <d v="2026-04-01T00:00:00" u="1"/>
        <d v="2026-04-02T00:00:00" u="1"/>
        <d v="2026-03-27T00:00:00" u="1"/>
        <d v="2025-12-08T00:00:00" u="1"/>
        <d v="2025-12-28T00:00:00" u="1"/>
        <d v="2025-12-30T00:00:00" u="1"/>
        <d v="2026-01-17T00:00:00" u="1"/>
        <d v="2025-12-29T00:00:00" u="1"/>
        <d v="2025-12-06T00:00:00" u="1"/>
        <d v="2025-12-31T00:00:00" u="1"/>
        <d v="2025-12-26T00:00:00" u="1"/>
        <d v="2025-11-15T00:00:00" u="1"/>
        <d v="2025-12-22T00:00:00" u="1"/>
        <d v="2025-12-18T00:00:00" u="1"/>
        <d v="2026-01-13T00:00:00" u="1"/>
        <d v="2025-12-20T00:00:00" u="1"/>
        <d v="2026-01-03T00:00:00" u="1"/>
        <d v="2025-12-12T00:00:00" u="1"/>
        <d v="2025-12-16T00:00:00" u="1"/>
        <d v="2025-12-27T00:00:00" u="1"/>
        <d v="2026-01-08T00:00:00" u="1"/>
      </sharedItems>
    </cacheField>
    <cacheField name="[ТаблПогруз].[Вес по  B\L].[Вес по  B\L]" caption="Вес по  B\L" numFmtId="0" hierarchy="18" level="1">
      <sharedItems containsSemiMixedTypes="0" containsString="0" containsNumber="1" minValue="2800.0630000000001" maxValue="4756.9629999999997" count="26">
        <n v="4300.5600000000004"/>
        <n v="4268.1030000000001"/>
        <n v="2800.0630000000001"/>
        <n v="4001.7570000000001"/>
        <n v="4034.2849999999999"/>
        <n v="4001.598"/>
        <n v="3008.0459999999998"/>
        <n v="3299.5250000000001"/>
        <n v="3080.8"/>
        <n v="3235.8980000000001"/>
        <n v="4751.2169999999996"/>
        <n v="2879.7809999999999"/>
        <n v="4600.24"/>
        <n v="4350.0519999999997"/>
        <n v="2802.13"/>
        <n v="4009.127"/>
        <n v="4015.4270000000001"/>
        <n v="3300.1390000000001"/>
        <n v="3301.9459999999999"/>
        <n v="3235.3490000000002"/>
        <n v="3725.46"/>
        <n v="4756.9629999999997"/>
        <n v="4610.7539999999999"/>
        <n v="2800.1619999999998"/>
        <n v="4019.038"/>
        <n v="3700.7159999999999"/>
      </sharedItems>
    </cacheField>
    <cacheField name="[ТаблПогрузкаМоряк].[Отправитель].[Отправитель]" caption="Отправитель" numFmtId="0" hierarchy="45" level="1">
      <sharedItems count="1">
        <s v="ООО «Ресурс Агро Трейдинг»"/>
      </sharedItems>
    </cacheField>
    <cacheField name="[ТаблПогруз].[Отправитель].[Отправитель]" caption="Отправитель" numFmtId="0" hierarchy="24" level="1">
      <sharedItems count="1">
        <s v="ООО «Ресурс Агро Трейдинг»"/>
      </sharedItems>
    </cacheField>
    <cacheField name="[ТаблВыгрузка].[Операция].[Операция]" caption="Операция" numFmtId="0" hierarchy="2" level="1">
      <sharedItems containsSemiMixedTypes="0" containsNonDate="0" containsString="0"/>
    </cacheField>
    <cacheField name="[ТаблПогрузкаМоряк].[месяц].[месяц]" caption="месяц" numFmtId="0" hierarchy="50" level="1">
      <sharedItems containsSemiMixedTypes="0" containsNonDate="0" containsString="0"/>
    </cacheField>
  </cacheFields>
  <cacheHierarchies count="60">
    <cacheHierarchy uniqueName="[ТаблВыгрузка].[ТХ]" caption="ТХ" attribute="1" defaultMemberUniqueName="[ТаблВыгрузка].[ТХ].[All]" allUniqueName="[ТаблВыгрузка].[ТХ].[All]" dimensionUniqueName="[ТаблВыгрузка]" displayFolder="" count="0" memberValueDatatype="130" unbalanced="0"/>
    <cacheHierarchy uniqueName="[ТаблВыгрузка].[Статус]" caption="Статус" attribute="1" defaultMemberUniqueName="[ТаблВыгрузка].[Статус].[All]" allUniqueName="[ТаблВыгрузка].[Статус].[All]" dimensionUniqueName="[ТаблВыгрузка]" displayFolder="" count="0" memberValueDatatype="130" unbalanced="0"/>
    <cacheHierarchy uniqueName="[ТаблВыгрузка].[Операция]" caption="Операция" attribute="1" defaultMemberUniqueName="[ТаблВыгрузка].[Операция].[All]" allUniqueName="[ТаблВыгрузка].[Операция].[All]" dimensionUniqueName="[ТаблВыгрузка]" displayFolder="" count="2" memberValueDatatype="130" unbalanced="0">
      <fieldsUsage count="2">
        <fieldUsage x="-1"/>
        <fieldUsage x="8"/>
      </fieldsUsage>
    </cacheHierarchy>
    <cacheHierarchy uniqueName="[ТаблВыгрузка].[Вес по  B\L]" caption="Вес по  B\L" attribute="1" defaultMemberUniqueName="[ТаблВыгрузка].[Вес по  B\L].[All]" allUniqueName="[ТаблВыгрузка].[Вес по  B\L].[All]" dimensionUniqueName="[ТаблВыгрузка]" displayFolder="" count="0" memberValueDatatype="5" unbalanced="0"/>
    <cacheHierarchy uniqueName="[ТаблВыгрузка].[Вес  выгруженный в накопитель]" caption="Вес  выгруженный в накопитель" attribute="1" defaultMemberUniqueName="[ТаблВыгрузка].[Вес  выгруженный в накопитель].[All]" allUniqueName="[ТаблВыгрузка].[Вес  выгруженный в накопитель].[All]" dimensionUniqueName="[ТаблВыгрузка]" displayFolder="" count="0" memberValueDatatype="5" unbalanced="0"/>
    <cacheHierarchy uniqueName="[ТаблВыгрузка].[NOR Разгрузка]" caption="NOR Разгрузка" attribute="1" time="1" defaultMemberUniqueName="[ТаблВыгрузка].[NOR Разгрузка].[All]" allUniqueName="[ТаблВыгрузка].[NOR Разгрузка].[All]" dimensionUniqueName="[ТаблВыгрузка]" displayFolder="" count="0" memberValueDatatype="7" unbalanced="0"/>
    <cacheHierarchy uniqueName="[ТаблВыгрузка].[Дата  начала  грузовых операций]" caption="Дата  начала  грузовых операций" attribute="1" time="1" defaultMemberUniqueName="[ТаблВыгрузка].[Дата  начала  грузовых операций].[All]" allUniqueName="[ТаблВыгрузка].[Дата  начала  грузовых операций].[All]" dimensionUniqueName="[ТаблВыгрузка]" displayFolder="" count="0" memberValueDatatype="7" unbalanced="0"/>
    <cacheHierarchy uniqueName="[ТаблВыгрузка].[Дата  окончания грузовых операций]" caption="Дата  окончания грузовых операций" attribute="1" time="1" defaultMemberUniqueName="[ТаблВыгрузка].[Дата  окончания грузовых операций].[All]" allUniqueName="[ТаблВыгрузка].[Дата  окончания грузовых операций].[All]" dimensionUniqueName="[ТаблВыгрузка]" displayFolder="" count="0" memberValueDatatype="7" unbalanced="0"/>
    <cacheHierarchy uniqueName="[ТаблВыгрузка].[Дата  составления  B\L речник]" caption="Дата  составления  B\L речник" attribute="1" time="1" defaultMemberUniqueName="[ТаблВыгрузка].[Дата  составления  B\L речник].[All]" allUniqueName="[ТаблВыгрузка].[Дата  составления  B\L речник].[All]" dimensionUniqueName="[ТаблВыгрузка]" displayFolder="" count="0" memberValueDatatype="7" unbalanced="0"/>
    <cacheHierarchy uniqueName="[ТаблВыгрузка].[Накопитель]" caption="Накопитель" attribute="1" defaultMemberUniqueName="[ТаблВыгрузка].[Накопитель].[All]" allUniqueName="[ТаблВыгрузка].[Накопитель].[All]" dimensionUniqueName="[ТаблВыгрузка]" displayFolder="" count="0" memberValueDatatype="130" unbalanced="0"/>
    <cacheHierarchy uniqueName="[ТаблВыгрузка].[Отправитель]" caption="Отправитель" attribute="1" defaultMemberUniqueName="[ТаблВыгрузка].[Отправитель].[All]" allUniqueName="[ТаблВыгрузка].[Отправитель].[All]" dimensionUniqueName="[ТаблВыгрузка]" displayFolder="" count="0" memberValueDatatype="130" unbalanced="0"/>
    <cacheHierarchy uniqueName="[ТаблВыгрузка].[Id key]" caption="Id key" attribute="1" defaultMemberUniqueName="[ТаблВыгрузка].[Id key].[All]" allUniqueName="[ТаблВыгрузка].[Id key].[All]" dimensionUniqueName="[ТаблВыгрузка]" displayFolder="" count="0" memberValueDatatype="130" unbalanced="0"/>
    <cacheHierarchy uniqueName="[ТаблВыгрузка].[Дата направления уведомления]" caption="Дата направления уведомления" attribute="1" time="1" defaultMemberUniqueName="[ТаблВыгрузка].[Дата направления уведомления].[All]" allUniqueName="[ТаблВыгрузка].[Дата направления уведомления].[All]" dimensionUniqueName="[ТаблВыгрузка]" displayFolder="" count="0" memberValueDatatype="7" unbalanced="0"/>
    <cacheHierarchy uniqueName="[ТаблПогруз].[ТХ]" caption="ТХ" attribute="1" defaultMemberUniqueName="[ТаблПогруз].[ТХ].[All]" allUniqueName="[ТаблПогруз].[ТХ].[All]" dimensionUniqueName="[ТаблПогруз]" displayFolder="" count="2" memberValueDatatype="130" unbalanced="0">
      <fieldsUsage count="2">
        <fieldUsage x="-1"/>
        <fieldUsage x="1"/>
      </fieldsUsage>
    </cacheHierarchy>
    <cacheHierarchy uniqueName="[ТаблПогруз].[Порт  погрузки]" caption="Порт  погрузки" attribute="1" defaultMemberUniqueName="[ТаблПогруз].[Порт  погрузки].[All]" allUniqueName="[ТаблПогруз].[Порт  погрузки].[All]" dimensionUniqueName="[ТаблПогруз]" displayFolder="" count="2" memberValueDatatype="130" unbalanced="0">
      <fieldsUsage count="2">
        <fieldUsage x="-1"/>
        <fieldUsage x="2"/>
      </fieldsUsage>
    </cacheHierarchy>
    <cacheHierarchy uniqueName="[ТаблПогруз].[Операция]" caption="Операция" attribute="1" defaultMemberUniqueName="[ТаблПогруз].[Операция].[All]" allUniqueName="[ТаблПогруз].[Операция].[All]" dimensionUniqueName="[ТаблПогруз]" displayFolder="" count="0" memberValueDatatype="130" unbalanced="0"/>
    <cacheHierarchy uniqueName="[ТаблПогруз].[Статус Рейсового  задания]" caption="Статус Рейсового  задания" attribute="1" defaultMemberUniqueName="[ТаблПогруз].[Статус Рейсового  задания].[All]" allUniqueName="[ТаблПогруз].[Статус Рейсового  задания].[All]" dimensionUniqueName="[ТаблПогруз]" displayFolder="" count="0" memberValueDatatype="130" unbalanced="0"/>
    <cacheHierarchy uniqueName="[ТаблПогруз].[Вес  к  погрузке  тн]" caption="Вес  к  погрузке  тн" attribute="1" defaultMemberUniqueName="[ТаблПогруз].[Вес  к  погрузке  тн].[All]" allUniqueName="[ТаблПогруз].[Вес  к  погрузке  тн].[All]" dimensionUniqueName="[ТаблПогруз]" displayFolder="" count="0" memberValueDatatype="5" unbalanced="0"/>
    <cacheHierarchy uniqueName="[ТаблПогруз].[Вес по  B\L]" caption="Вес по  B\L" attribute="1" defaultMemberUniqueName="[ТаблПогруз].[Вес по  B\L].[All]" allUniqueName="[ТаблПогруз].[Вес по  B\L].[All]" dimensionUniqueName="[ТаблПогруз]" displayFolder="" count="2" memberValueDatatype="5" unbalanced="0">
      <fieldsUsage count="2">
        <fieldUsage x="-1"/>
        <fieldUsage x="5"/>
      </fieldsUsage>
    </cacheHierarchy>
    <cacheHierarchy uniqueName="[ТаблПогруз].[NOR погрузка]" caption="NOR погрузка" attribute="1" time="1" defaultMemberUniqueName="[ТаблПогруз].[NOR погрузка].[All]" allUniqueName="[ТаблПогруз].[NOR погрузка].[All]" dimensionUniqueName="[ТаблПогруз]" displayFolder="" count="0" memberValueDatatype="7" unbalanced="0"/>
    <cacheHierarchy uniqueName="[ТаблПогруз].[Дата  начала  грузовых операций]" caption="Дата  начала  грузовых операций" attribute="1" time="1" defaultMemberUniqueName="[ТаблПогруз].[Дата  начала  грузовых операций].[All]" allUniqueName="[ТаблПогруз].[Дата  начала  грузовых операций].[All]" dimensionUniqueName="[ТаблПогруз]" displayFolder="" count="0" memberValueDatatype="7" unbalanced="0"/>
    <cacheHierarchy uniqueName="[ТаблПогруз].[Дата  окончания грузовых операций]" caption="Дата  окончания грузовых операций" attribute="1" defaultMemberUniqueName="[ТаблПогруз].[Дата  окончания грузовых операций].[All]" allUniqueName="[ТаблПогруз].[Дата  окончания грузовых операций].[All]" dimensionUniqueName="[ТаблПогруз]" displayFolder="" count="0" memberValueDatatype="130" unbalanced="0"/>
    <cacheHierarchy uniqueName="[ТаблПогруз].[Дата  составления  B\L]" caption="Дата  составления  B\L" attribute="1" time="1" defaultMemberUniqueName="[ТаблПогруз].[Дата  составления  B\L].[All]" allUniqueName="[ТаблПогруз].[Дата  составления  B\L].[All]" dimensionUniqueName="[ТаблПогруз]" displayFolder="" count="2" memberValueDatatype="7" unbalanced="0">
      <fieldsUsage count="2">
        <fieldUsage x="-1"/>
        <fieldUsage x="4"/>
      </fieldsUsage>
    </cacheHierarchy>
    <cacheHierarchy uniqueName="[ТаблПогруз].[План  отгрузки]" caption="План  отгрузки" attribute="1" defaultMemberUniqueName="[ТаблПогруз].[План  отгрузки].[All]" allUniqueName="[ТаблПогруз].[План  отгрузки].[All]" dimensionUniqueName="[ТаблПогруз]" displayFolder="" count="0" memberValueDatatype="130" unbalanced="0"/>
    <cacheHierarchy uniqueName="[ТаблПогруз].[Отправитель]" caption="Отправитель" attribute="1" defaultMemberUniqueName="[ТаблПогруз].[Отправитель].[All]" allUniqueName="[ТаблПогруз].[Отправитель].[All]" dimensionUniqueName="[ТаблПогруз]" displayFolder="" count="2" memberValueDatatype="130" unbalanced="0">
      <fieldsUsage count="2">
        <fieldUsage x="-1"/>
        <fieldUsage x="7"/>
      </fieldsUsage>
    </cacheHierarchy>
    <cacheHierarchy uniqueName="[ТаблПогруз].[Сюрвеер]" caption="Сюрвеер" attribute="1" defaultMemberUniqueName="[ТаблПогруз].[Сюрвеер].[All]" allUniqueName="[ТаблПогруз].[Сюрвеер].[All]" dimensionUniqueName="[ТаблПогруз]" displayFolder="" count="0" memberValueDatatype="130" unbalanced="0"/>
    <cacheHierarchy uniqueName="[ТаблПогруз].[Вес  на  борту   до  начала  грузовых операций]" caption="Вес  на  борту   до  начала  грузовых операций" attribute="1" defaultMemberUniqueName="[ТаблПогруз].[Вес  на  борту   до  начала  грузовых операций].[All]" allUniqueName="[ТаблПогруз].[Вес  на  борту   до  начала  грузовых операций].[All]" dimensionUniqueName="[ТаблПогруз]" displayFolder="" count="0" memberValueDatatype="5" unbalanced="0"/>
    <cacheHierarchy uniqueName="[ТаблПогруз].[Вес  на  борту   после  окончания    грузовых операций]" caption="Вес  на  борту   после  окончания    грузовых операций" attribute="1" defaultMemberUniqueName="[ТаблПогруз].[Вес  на  борту   после  окончания    грузовых операций].[All]" allUniqueName="[ТаблПогруз].[Вес  на  борту   после  окончания    грузовых операций].[All]" dimensionUniqueName="[ТаблПогруз]" displayFolder="" count="0" memberValueDatatype="5" unbalanced="0"/>
    <cacheHierarchy uniqueName="[ТаблПогруз].[Id]" caption="Id" attribute="1" defaultMemberUniqueName="[ТаблПогруз].[Id].[All]" allUniqueName="[ТаблПогруз].[Id].[All]" dimensionUniqueName="[ТаблПогруз]" displayFolder="" count="0" memberValueDatatype="130" unbalanced="0"/>
    <cacheHierarchy uniqueName="[ТаблПогруз].[Год]" caption="Год" attribute="1" defaultMemberUniqueName="[ТаблПогруз].[Год].[All]" allUniqueName="[ТаблПогруз].[Год].[All]" dimensionUniqueName="[ТаблПогруз]" displayFolder="" count="0" memberValueDatatype="130" unbalanced="0"/>
    <cacheHierarchy uniqueName="[ТаблПогруз].[Месяц]" caption="Месяц" attribute="1" defaultMemberUniqueName="[ТаблПогруз].[Месяц].[All]" allUniqueName="[ТаблПогруз].[Месяц].[All]" dimensionUniqueName="[ТаблПогруз]" displayFolder="" count="0" memberValueDatatype="130" unbalanced="0"/>
    <cacheHierarchy uniqueName="[ТаблПогруз].[Неделя]" caption="Неделя" attribute="1" defaultMemberUniqueName="[ТаблПогруз].[Неделя].[All]" allUniqueName="[ТаблПогруз].[Неделя].[All]" dimensionUniqueName="[ТаблПогруз]" displayFolder="" count="0" memberValueDatatype="20" unbalanced="0"/>
    <cacheHierarchy uniqueName="[ТаблПогруз].[Дата  составления  B\L (Год)]" caption="Дата  составления  B\L (Год)" attribute="1" defaultMemberUniqueName="[ТаблПогруз].[Дата  составления  B\L (Год)].[All]" allUniqueName="[ТаблПогруз].[Дата  составления  B\L (Год)].[All]" dimensionUniqueName="[ТаблПогруз]" displayFolder="" count="0" memberValueDatatype="130" unbalanced="0"/>
    <cacheHierarchy uniqueName="[ТаблПогруз].[Дата  составления  B\L (Квартал)]" caption="Дата  составления  B\L (Квартал)" attribute="1" defaultMemberUniqueName="[ТаблПогруз].[Дата  составления  B\L (Квартал)].[All]" allUniqueName="[ТаблПогруз].[Дата  составления  B\L (Квартал)].[All]" dimensionUniqueName="[ТаблПогруз]" displayFolder="" count="0" memberValueDatatype="130" unbalanced="0"/>
    <cacheHierarchy uniqueName="[ТаблПогруз].[Дата  составления  B\L (Месяц)]" caption="Дата  составления  B\L (Месяц)" attribute="1" defaultMemberUniqueName="[ТаблПогруз].[Дата  составления  B\L (Месяц)].[All]" allUniqueName="[ТаблПогруз].[Дата  составления  B\L (Месяц)].[All]" dimensionUniqueName="[ТаблПогруз]" displayFolder="" count="0" memberValueDatatype="130" unbalanced="0"/>
    <cacheHierarchy uniqueName="[ТаблПогруз].[Столбец1]" caption="Столбец1" attribute="1" defaultMemberUniqueName="[ТаблПогруз].[Столбец1].[All]" allUniqueName="[ТаблПогруз].[Столбец1].[All]" dimensionUniqueName="[ТаблПогруз]" displayFolder="" count="0" memberValueDatatype="20" unbalanced="0"/>
    <cacheHierarchy uniqueName="[ТаблПогрузкаМоряк].[ТХ]" caption="ТХ" attribute="1" defaultMemberUniqueName="[ТаблПогрузкаМоряк].[ТХ].[All]" allUniqueName="[ТаблПогрузкаМоряк].[ТХ].[All]" dimensionUniqueName="[ТаблПогрузкаМоряк]" displayFolder="" count="0" memberValueDatatype="130" unbalanced="0"/>
    <cacheHierarchy uniqueName="[ТаблПогрузкаМоряк].[Статус]" caption="Статус" attribute="1" defaultMemberUniqueName="[ТаблПогрузкаМоряк].[Статус].[All]" allUniqueName="[ТаблПогрузкаМоряк].[Статус].[All]" dimensionUniqueName="[ТаблПогрузкаМоряк]" displayFolder="" count="0" memberValueDatatype="130" unbalanced="0"/>
    <cacheHierarchy uniqueName="[ТаблПогрузкаМоряк].[Операция]" caption="Операция" attribute="1" defaultMemberUniqueName="[ТаблПогрузкаМоряк].[Операция].[All]" allUniqueName="[ТаблПогрузкаМоряк].[Операция].[All]" dimensionUniqueName="[ТаблПогрузкаМоряк]" displayFolder="" count="2" memberValueDatatype="130" unbalanced="0"/>
    <cacheHierarchy uniqueName="[ТаблПогрузкаМоряк].[Вес  погруженный]" caption="Вес  погруженный" attribute="1" defaultMemberUniqueName="[ТаблПогрузкаМоряк].[Вес  погруженный].[All]" allUniqueName="[ТаблПогрузкаМоряк].[Вес  погруженный].[All]" dimensionUniqueName="[ТаблПогрузкаМоряк]" displayFolder="" count="0" memberValueDatatype="5" unbalanced="0"/>
    <cacheHierarchy uniqueName="[ТаблПогрузкаМоряк].[Накопитель]" caption="Накопитель" attribute="1" defaultMemberUniqueName="[ТаблПогрузкаМоряк].[Накопитель].[All]" allUniqueName="[ТаблПогрузкаМоряк].[Накопитель].[All]" dimensionUniqueName="[ТаблПогрузкаМоряк]" displayFolder="" count="2" memberValueDatatype="130" unbalanced="0"/>
    <cacheHierarchy uniqueName="[ТаблПогрузкаМоряк].[Дата  начала  грузовых операций]" caption="Дата  начала  грузовых операций" attribute="1" time="1" defaultMemberUniqueName="[ТаблПогрузкаМоряк].[Дата  начала  грузовых операций].[All]" allUniqueName="[ТаблПогрузкаМоряк].[Дата  начала  грузовых операций].[All]" dimensionUniqueName="[ТаблПогрузкаМоряк]" displayFolder="" count="0" memberValueDatatype="7" unbalanced="0"/>
    <cacheHierarchy uniqueName="[ТаблПогрузкаМоряк].[Дата  окончания грузовых операций]" caption="Дата  окончания грузовых операций" attribute="1" time="1" defaultMemberUniqueName="[ТаблПогрузкаМоряк].[Дата  окончания грузовых операций].[All]" allUniqueName="[ТаблПогрузкаМоряк].[Дата  окончания грузовых операций].[All]" dimensionUniqueName="[ТаблПогрузкаМоряк]" displayFolder="" count="0" memberValueDatatype="7" unbalanced="0"/>
    <cacheHierarchy uniqueName="[ТаблПогрузкаМоряк].[Морское Судно]" caption="Морское Судно" attribute="1" defaultMemberUniqueName="[ТаблПогрузкаМоряк].[Морское Судно].[All]" allUniqueName="[ТаблПогрузкаМоряк].[Морское Судно].[All]" dimensionUniqueName="[ТаблПогрузкаМоряк]" displayFolder="" count="2" memberValueDatatype="130" unbalanced="0">
      <fieldsUsage count="2">
        <fieldUsage x="-1"/>
        <fieldUsage x="0"/>
      </fieldsUsage>
    </cacheHierarchy>
    <cacheHierarchy uniqueName="[ТаблПогрузкаМоряк].[Дата  составления  B\L Морского Судна]" caption="Дата  составления  B\L Морского Судна" attribute="1" time="1" defaultMemberUniqueName="[ТаблПогрузкаМоряк].[Дата  составления  B\L Морского Судна].[All]" allUniqueName="[ТаблПогрузкаМоряк].[Дата  составления  B\L Морского Судна].[All]" dimensionUniqueName="[ТаблПогрузкаМоряк]" displayFolder="" count="2" memberValueDatatype="7" unbalanced="0"/>
    <cacheHierarchy uniqueName="[ТаблПогрузкаМоряк].[Отправитель]" caption="Отправитель" attribute="1" defaultMemberUniqueName="[ТаблПогрузкаМоряк].[Отправитель].[All]" allUniqueName="[ТаблПогрузкаМоряк].[Отправитель].[All]" dimensionUniqueName="[ТаблПогрузкаМоряк]" displayFolder="" count="2" memberValueDatatype="130" unbalanced="0">
      <fieldsUsage count="2">
        <fieldUsage x="-1"/>
        <fieldUsage x="6"/>
      </fieldsUsage>
    </cacheHierarchy>
    <cacheHierarchy uniqueName="[ТаблПогрузкаМоряк].[Id key]" caption="Id key" attribute="1" defaultMemberUniqueName="[ТаблПогрузкаМоряк].[Id key].[All]" allUniqueName="[ТаблПогрузкаМоряк].[Id key].[All]" dimensionUniqueName="[ТаблПогрузкаМоряк]" displayFolder="" count="0" memberValueDatatype="130" unbalanced="0"/>
    <cacheHierarchy uniqueName="[ТаблПогрузкаМоряк].[Дата направления уведомления]" caption="Дата направления уведомления" attribute="1" time="1" defaultMemberUniqueName="[ТаблПогрузкаМоряк].[Дата направления уведомления].[All]" allUniqueName="[ТаблПогрузкаМоряк].[Дата направления уведомления].[All]" dimensionUniqueName="[ТаблПогрузкаМоряк]" displayFolder="" count="0" memberValueDatatype="7" unbalanced="0"/>
    <cacheHierarchy uniqueName="[ТаблПогрузкаМоряк].[Calculated Column 1]" caption="Calculated Column 1" attribute="1" defaultMemberUniqueName="[ТаблПогрузкаМоряк].[Calculated Column 1].[All]" allUniqueName="[ТаблПогрузкаМоряк].[Calculated Column 1].[All]" dimensionUniqueName="[ТаблПогрузкаМоряк]" displayFolder="" count="0" memberValueDatatype="20" unbalanced="0"/>
    <cacheHierarchy uniqueName="[ТаблПогрузкаМоряк].[Произв.Неделя]" caption="Произв.Неделя" attribute="1" defaultMemberUniqueName="[ТаблПогрузкаМоряк].[Произв.Неделя].[All]" allUniqueName="[ТаблПогрузкаМоряк].[Произв.Неделя].[All]" dimensionUniqueName="[ТаблПогрузкаМоряк]" displayFolder="" count="2" memberValueDatatype="20" unbalanced="0"/>
    <cacheHierarchy uniqueName="[ТаблПогрузкаМоряк].[месяц]" caption="месяц" attribute="1" defaultMemberUniqueName="[ТаблПогрузкаМоряк].[месяц].[All]" allUniqueName="[ТаблПогрузкаМоряк].[месяц].[All]" dimensionUniqueName="[ТаблПогрузкаМоряк]" displayFolder="" count="2" memberValueDatatype="130" unbalanced="0">
      <fieldsUsage count="2">
        <fieldUsage x="-1"/>
        <fieldUsage x="9"/>
      </fieldsUsage>
    </cacheHierarchy>
    <cacheHierarchy uniqueName="[ТаблПогрузкаМоряк].[год]" caption="год" attribute="1" defaultMemberUniqueName="[ТаблПогрузкаМоряк].[год].[All]" allUniqueName="[ТаблПогрузкаМоряк].[год].[All]" dimensionUniqueName="[ТаблПогрузкаМоряк]" displayFolder="" count="0" memberValueDatatype="20" unbalanced="0"/>
    <cacheHierarchy uniqueName="[ТаблПогруз].[Дата  составления  B\L (Индекс месяца)]" caption="Дата  составления  B\L (Индекс месяца)" attribute="1" defaultMemberUniqueName="[ТаблПогруз].[Дата  составления  B\L (Индекс месяца)].[All]" allUniqueName="[ТаблПогруз].[Дата  составления  B\L (Индекс месяца)].[All]" dimensionUniqueName="[ТаблПогруз]" displayFolder="" count="0" memberValueDatatype="20" unbalanced="0" hidden="1"/>
    <cacheHierarchy uniqueName="[Measures].[__XL_Count Таблица1]" caption="__XL_Count Таблица1" measure="1" displayFolder="" measureGroup="ТаблПогруз" count="0" hidden="1"/>
    <cacheHierarchy uniqueName="[Measures].[__XL_Count Таблица16]" caption="__XL_Count Таблица16" measure="1" displayFolder="" measureGroup="ТаблВыгрузка" count="0" hidden="1"/>
    <cacheHierarchy uniqueName="[Measures].[__XL_Count Таблица163]" caption="__XL_Count Таблица163" measure="1" displayFolder="" measureGroup="ТаблПогрузкаМоряк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Вес  погруженный]" caption="Сумма по столбцу Вес  погруженный" measure="1" displayFolder="" measureGroup="ТаблПогрузкаМоряк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Сумма по столбцу Вес по  B\L]" caption="Сумма по столбцу Вес по  B\L" measure="1" displayFolder="" measureGroup="ТаблПогруз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Отправитель]" caption="Число элементов в столбце Отправитель" measure="1" displayFolder="" measureGroup="ТаблПогрузкаМоряк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</cacheHierarchies>
  <kpis count="0"/>
  <dimensions count="4">
    <dimension measure="1" name="Measures" uniqueName="[Measures]" caption="Measures"/>
    <dimension name="ТаблВыгрузка" uniqueName="[ТаблВыгрузка]" caption="ТаблВыгрузка"/>
    <dimension name="ТаблПогруз" uniqueName="[ТаблПогруз]" caption="ТаблПогруз"/>
    <dimension name="ТаблПогрузкаМоряк" uniqueName="[ТаблПогрузкаМоряк]" caption="ТаблПогрузкаМоряк"/>
  </dimensions>
  <measureGroups count="3">
    <measureGroup name="ТаблВыгрузка" caption="ТаблВыгрузка"/>
    <measureGroup name="ТаблПогруз" caption="ТаблПогруз"/>
    <measureGroup name="ТаблПогрузкаМоряк" caption="ТаблПогрузкаМоряк"/>
  </measureGroups>
  <maps count="5">
    <map measureGroup="0" dimension="1"/>
    <map measureGroup="0" dimension="2"/>
    <map measureGroup="1" dimension="2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Маршанский Дмитрий Сергеевич" refreshedDate="46119.443796643522" createdVersion="3" refreshedVersion="6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0">
    <cacheHierarchy uniqueName="[ТаблВыгрузка].[ТХ]" caption="ТХ" attribute="1" defaultMemberUniqueName="[ТаблВыгрузка].[ТХ].[All]" allUniqueName="[ТаблВыгрузка].[ТХ].[All]" dimensionUniqueName="[ТаблВыгрузка]" displayFolder="" count="0" memberValueDatatype="130" unbalanced="0"/>
    <cacheHierarchy uniqueName="[ТаблВыгрузка].[Статус]" caption="Статус" attribute="1" defaultMemberUniqueName="[ТаблВыгрузка].[Статус].[All]" allUniqueName="[ТаблВыгрузка].[Статус].[All]" dimensionUniqueName="[ТаблВыгрузка]" displayFolder="" count="0" memberValueDatatype="130" unbalanced="0"/>
    <cacheHierarchy uniqueName="[ТаблВыгрузка].[Операция]" caption="Операция" attribute="1" defaultMemberUniqueName="[ТаблВыгрузка].[Операция].[All]" allUniqueName="[ТаблВыгрузка].[Операция].[All]" dimensionUniqueName="[ТаблВыгрузка]" displayFolder="" count="0" memberValueDatatype="130" unbalanced="0"/>
    <cacheHierarchy uniqueName="[ТаблВыгрузка].[Вес по  B\L]" caption="Вес по  B\L" attribute="1" defaultMemberUniqueName="[ТаблВыгрузка].[Вес по  B\L].[All]" allUniqueName="[ТаблВыгрузка].[Вес по  B\L].[All]" dimensionUniqueName="[ТаблВыгрузка]" displayFolder="" count="0" memberValueDatatype="5" unbalanced="0"/>
    <cacheHierarchy uniqueName="[ТаблВыгрузка].[Вес  выгруженный в накопитель]" caption="Вес  выгруженный в накопитель" attribute="1" defaultMemberUniqueName="[ТаблВыгрузка].[Вес  выгруженный в накопитель].[All]" allUniqueName="[ТаблВыгрузка].[Вес  выгруженный в накопитель].[All]" dimensionUniqueName="[ТаблВыгрузка]" displayFolder="" count="0" memberValueDatatype="5" unbalanced="0"/>
    <cacheHierarchy uniqueName="[ТаблВыгрузка].[NOR Разгрузка]" caption="NOR Разгрузка" attribute="1" time="1" defaultMemberUniqueName="[ТаблВыгрузка].[NOR Разгрузка].[All]" allUniqueName="[ТаблВыгрузка].[NOR Разгрузка].[All]" dimensionUniqueName="[ТаблВыгрузка]" displayFolder="" count="0" memberValueDatatype="7" unbalanced="0"/>
    <cacheHierarchy uniqueName="[ТаблВыгрузка].[Дата  начала  грузовых операций]" caption="Дата  начала  грузовых операций" attribute="1" time="1" defaultMemberUniqueName="[ТаблВыгрузка].[Дата  начала  грузовых операций].[All]" allUniqueName="[ТаблВыгрузка].[Дата  начала  грузовых операций].[All]" dimensionUniqueName="[ТаблВыгрузка]" displayFolder="" count="0" memberValueDatatype="7" unbalanced="0"/>
    <cacheHierarchy uniqueName="[ТаблВыгрузка].[Дата  окончания грузовых операций]" caption="Дата  окончания грузовых операций" attribute="1" time="1" defaultMemberUniqueName="[ТаблВыгрузка].[Дата  окончания грузовых операций].[All]" allUniqueName="[ТаблВыгрузка].[Дата  окончания грузовых операций].[All]" dimensionUniqueName="[ТаблВыгрузка]" displayFolder="" count="0" memberValueDatatype="7" unbalanced="0"/>
    <cacheHierarchy uniqueName="[ТаблВыгрузка].[Дата  составления  B\L речник]" caption="Дата  составления  B\L речник" attribute="1" time="1" defaultMemberUniqueName="[ТаблВыгрузка].[Дата  составления  B\L речник].[All]" allUniqueName="[ТаблВыгрузка].[Дата  составления  B\L речник].[All]" dimensionUniqueName="[ТаблВыгрузка]" displayFolder="" count="0" memberValueDatatype="7" unbalanced="0"/>
    <cacheHierarchy uniqueName="[ТаблВыгрузка].[Накопитель]" caption="Накопитель" attribute="1" defaultMemberUniqueName="[ТаблВыгрузка].[Накопитель].[All]" allUniqueName="[ТаблВыгрузка].[Накопитель].[All]" dimensionUniqueName="[ТаблВыгрузка]" displayFolder="" count="0" memberValueDatatype="130" unbalanced="0"/>
    <cacheHierarchy uniqueName="[ТаблВыгрузка].[Отправитель]" caption="Отправитель" attribute="1" defaultMemberUniqueName="[ТаблВыгрузка].[Отправитель].[All]" allUniqueName="[ТаблВыгрузка].[Отправитель].[All]" dimensionUniqueName="[ТаблВыгрузка]" displayFolder="" count="0" memberValueDatatype="130" unbalanced="0"/>
    <cacheHierarchy uniqueName="[ТаблВыгрузка].[Id key]" caption="Id key" attribute="1" defaultMemberUniqueName="[ТаблВыгрузка].[Id key].[All]" allUniqueName="[ТаблВыгрузка].[Id key].[All]" dimensionUniqueName="[ТаблВыгрузка]" displayFolder="" count="0" memberValueDatatype="130" unbalanced="0"/>
    <cacheHierarchy uniqueName="[ТаблВыгрузка].[Дата направления уведомления]" caption="Дата направления уведомления" attribute="1" time="1" defaultMemberUniqueName="[ТаблВыгрузка].[Дата направления уведомления].[All]" allUniqueName="[ТаблВыгрузка].[Дата направления уведомления].[All]" dimensionUniqueName="[ТаблВыгрузка]" displayFolder="" count="0" memberValueDatatype="7" unbalanced="0"/>
    <cacheHierarchy uniqueName="[ТаблПогруз].[ТХ]" caption="ТХ" attribute="1" defaultMemberUniqueName="[ТаблПогруз].[ТХ].[All]" allUniqueName="[ТаблПогруз].[ТХ].[All]" dimensionUniqueName="[ТаблПогруз]" displayFolder="" count="2" memberValueDatatype="130" unbalanced="0"/>
    <cacheHierarchy uniqueName="[ТаблПогруз].[Порт  погрузки]" caption="Порт  погрузки" attribute="1" defaultMemberUniqueName="[ТаблПогруз].[Порт  погрузки].[All]" allUniqueName="[ТаблПогруз].[Порт  погрузки].[All]" dimensionUniqueName="[ТаблПогруз]" displayFolder="" count="0" memberValueDatatype="130" unbalanced="0"/>
    <cacheHierarchy uniqueName="[ТаблПогруз].[Операция]" caption="Операция" attribute="1" defaultMemberUniqueName="[ТаблПогруз].[Операция].[All]" allUniqueName="[ТаблПогруз].[Операция].[All]" dimensionUniqueName="[ТаблПогруз]" displayFolder="" count="0" memberValueDatatype="130" unbalanced="0"/>
    <cacheHierarchy uniqueName="[ТаблПогруз].[Статус Рейсового  задания]" caption="Статус Рейсового  задания" attribute="1" defaultMemberUniqueName="[ТаблПогруз].[Статус Рейсового  задания].[All]" allUniqueName="[ТаблПогруз].[Статус Рейсового  задания].[All]" dimensionUniqueName="[ТаблПогруз]" displayFolder="" count="0" memberValueDatatype="130" unbalanced="0"/>
    <cacheHierarchy uniqueName="[ТаблПогруз].[Вес  к  погрузке  тн]" caption="Вес  к  погрузке  тн" attribute="1" defaultMemberUniqueName="[ТаблПогруз].[Вес  к  погрузке  тн].[All]" allUniqueName="[ТаблПогруз].[Вес  к  погрузке  тн].[All]" dimensionUniqueName="[ТаблПогруз]" displayFolder="" count="0" memberValueDatatype="5" unbalanced="0"/>
    <cacheHierarchy uniqueName="[ТаблПогруз].[Вес по  B\L]" caption="Вес по  B\L" attribute="1" defaultMemberUniqueName="[ТаблПогруз].[Вес по  B\L].[All]" allUniqueName="[ТаблПогруз].[Вес по  B\L].[All]" dimensionUniqueName="[ТаблПогруз]" displayFolder="" count="2" memberValueDatatype="5" unbalanced="0"/>
    <cacheHierarchy uniqueName="[ТаблПогруз].[NOR погрузка]" caption="NOR погрузка" attribute="1" time="1" defaultMemberUniqueName="[ТаблПогруз].[NOR погрузка].[All]" allUniqueName="[ТаблПогруз].[NOR погрузка].[All]" dimensionUniqueName="[ТаблПогруз]" displayFolder="" count="0" memberValueDatatype="7" unbalanced="0"/>
    <cacheHierarchy uniqueName="[ТаблПогруз].[Дата  начала  грузовых операций]" caption="Дата  начала  грузовых операций" attribute="1" time="1" defaultMemberUniqueName="[ТаблПогруз].[Дата  начала  грузовых операций].[All]" allUniqueName="[ТаблПогруз].[Дата  начала  грузовых операций].[All]" dimensionUniqueName="[ТаблПогруз]" displayFolder="" count="0" memberValueDatatype="7" unbalanced="0"/>
    <cacheHierarchy uniqueName="[ТаблПогруз].[Дата  окончания грузовых операций]" caption="Дата  окончания грузовых операций" attribute="1" defaultMemberUniqueName="[ТаблПогруз].[Дата  окончания грузовых операций].[All]" allUniqueName="[ТаблПогруз].[Дата  окончания грузовых операций].[All]" dimensionUniqueName="[ТаблПогруз]" displayFolder="" count="0" memberValueDatatype="130" unbalanced="0"/>
    <cacheHierarchy uniqueName="[ТаблПогруз].[Дата  составления  B\L]" caption="Дата  составления  B\L" attribute="1" time="1" defaultMemberUniqueName="[ТаблПогруз].[Дата  составления  B\L].[All]" allUniqueName="[ТаблПогруз].[Дата  составления  B\L].[All]" dimensionUniqueName="[ТаблПогруз]" displayFolder="" count="2" memberValueDatatype="7" unbalanced="0"/>
    <cacheHierarchy uniqueName="[ТаблПогруз].[План  отгрузки]" caption="План  отгрузки" attribute="1" defaultMemberUniqueName="[ТаблПогруз].[План  отгрузки].[All]" allUniqueName="[ТаблПогруз].[План  отгрузки].[All]" dimensionUniqueName="[ТаблПогруз]" displayFolder="" count="0" memberValueDatatype="130" unbalanced="0"/>
    <cacheHierarchy uniqueName="[ТаблПогруз].[Отправитель]" caption="Отправитель" attribute="1" defaultMemberUniqueName="[ТаблПогруз].[Отправитель].[All]" allUniqueName="[ТаблПогруз].[Отправитель].[All]" dimensionUniqueName="[ТаблПогруз]" displayFolder="" count="0" memberValueDatatype="130" unbalanced="0"/>
    <cacheHierarchy uniqueName="[ТаблПогруз].[Сюрвеер]" caption="Сюрвеер" attribute="1" defaultMemberUniqueName="[ТаблПогруз].[Сюрвеер].[All]" allUniqueName="[ТаблПогруз].[Сюрвеер].[All]" dimensionUniqueName="[ТаблПогруз]" displayFolder="" count="0" memberValueDatatype="130" unbalanced="0"/>
    <cacheHierarchy uniqueName="[ТаблПогруз].[Вес  на  борту   до  начала  грузовых операций]" caption="Вес  на  борту   до  начала  грузовых операций" attribute="1" defaultMemberUniqueName="[ТаблПогруз].[Вес  на  борту   до  начала  грузовых операций].[All]" allUniqueName="[ТаблПогруз].[Вес  на  борту   до  начала  грузовых операций].[All]" dimensionUniqueName="[ТаблПогруз]" displayFolder="" count="0" memberValueDatatype="5" unbalanced="0"/>
    <cacheHierarchy uniqueName="[ТаблПогруз].[Вес  на  борту   после  окончания    грузовых операций]" caption="Вес  на  борту   после  окончания    грузовых операций" attribute="1" defaultMemberUniqueName="[ТаблПогруз].[Вес  на  борту   после  окончания    грузовых операций].[All]" allUniqueName="[ТаблПогруз].[Вес  на  борту   после  окончания    грузовых операций].[All]" dimensionUniqueName="[ТаблПогруз]" displayFolder="" count="0" memberValueDatatype="5" unbalanced="0"/>
    <cacheHierarchy uniqueName="[ТаблПогруз].[Id]" caption="Id" attribute="1" defaultMemberUniqueName="[ТаблПогруз].[Id].[All]" allUniqueName="[ТаблПогруз].[Id].[All]" dimensionUniqueName="[ТаблПогруз]" displayFolder="" count="0" memberValueDatatype="130" unbalanced="0"/>
    <cacheHierarchy uniqueName="[ТаблПогруз].[Год]" caption="Год" attribute="1" defaultMemberUniqueName="[ТаблПогруз].[Год].[All]" allUniqueName="[ТаблПогруз].[Год].[All]" dimensionUniqueName="[ТаблПогруз]" displayFolder="" count="0" memberValueDatatype="130" unbalanced="0"/>
    <cacheHierarchy uniqueName="[ТаблПогруз].[Месяц]" caption="Месяц" attribute="1" defaultMemberUniqueName="[ТаблПогруз].[Месяц].[All]" allUniqueName="[ТаблПогруз].[Месяц].[All]" dimensionUniqueName="[ТаблПогруз]" displayFolder="" count="0" memberValueDatatype="130" unbalanced="0"/>
    <cacheHierarchy uniqueName="[ТаблПогруз].[Неделя]" caption="Неделя" attribute="1" defaultMemberUniqueName="[ТаблПогруз].[Неделя].[All]" allUniqueName="[ТаблПогруз].[Неделя].[All]" dimensionUniqueName="[ТаблПогруз]" displayFolder="" count="0" memberValueDatatype="20" unbalanced="0"/>
    <cacheHierarchy uniqueName="[ТаблПогруз].[Дата  составления  B\L (Год)]" caption="Дата  составления  B\L (Год)" attribute="1" defaultMemberUniqueName="[ТаблПогруз].[Дата  составления  B\L (Год)].[All]" allUniqueName="[ТаблПогруз].[Дата  составления  B\L (Год)].[All]" dimensionUniqueName="[ТаблПогруз]" displayFolder="" count="0" memberValueDatatype="130" unbalanced="0"/>
    <cacheHierarchy uniqueName="[ТаблПогруз].[Дата  составления  B\L (Квартал)]" caption="Дата  составления  B\L (Квартал)" attribute="1" defaultMemberUniqueName="[ТаблПогруз].[Дата  составления  B\L (Квартал)].[All]" allUniqueName="[ТаблПогруз].[Дата  составления  B\L (Квартал)].[All]" dimensionUniqueName="[ТаблПогруз]" displayFolder="" count="0" memberValueDatatype="130" unbalanced="0"/>
    <cacheHierarchy uniqueName="[ТаблПогруз].[Дата  составления  B\L (Месяц)]" caption="Дата  составления  B\L (Месяц)" attribute="1" defaultMemberUniqueName="[ТаблПогруз].[Дата  составления  B\L (Месяц)].[All]" allUniqueName="[ТаблПогруз].[Дата  составления  B\L (Месяц)].[All]" dimensionUniqueName="[ТаблПогруз]" displayFolder="" count="0" memberValueDatatype="130" unbalanced="0"/>
    <cacheHierarchy uniqueName="[ТаблПогруз].[Столбец1]" caption="Столбец1" attribute="1" defaultMemberUniqueName="[ТаблПогруз].[Столбец1].[All]" allUniqueName="[ТаблПогруз].[Столбец1].[All]" dimensionUniqueName="[ТаблПогруз]" displayFolder="" count="0" memberValueDatatype="20" unbalanced="0"/>
    <cacheHierarchy uniqueName="[ТаблПогрузкаМоряк].[ТХ]" caption="ТХ" attribute="1" defaultMemberUniqueName="[ТаблПогрузкаМоряк].[ТХ].[All]" allUniqueName="[ТаблПогрузкаМоряк].[ТХ].[All]" dimensionUniqueName="[ТаблПогрузкаМоряк]" displayFolder="" count="0" memberValueDatatype="130" unbalanced="0"/>
    <cacheHierarchy uniqueName="[ТаблПогрузкаМоряк].[Статус]" caption="Статус" attribute="1" defaultMemberUniqueName="[ТаблПогрузкаМоряк].[Статус].[All]" allUniqueName="[ТаблПогрузкаМоряк].[Статус].[All]" dimensionUniqueName="[ТаблПогрузкаМоряк]" displayFolder="" count="0" memberValueDatatype="130" unbalanced="0"/>
    <cacheHierarchy uniqueName="[ТаблПогрузкаМоряк].[Операция]" caption="Операция" attribute="1" defaultMemberUniqueName="[ТаблПогрузкаМоряк].[Операция].[All]" allUniqueName="[ТаблПогрузкаМоряк].[Операция].[All]" dimensionUniqueName="[ТаблПогрузкаМоряк]" displayFolder="" count="2" memberValueDatatype="130" unbalanced="0"/>
    <cacheHierarchy uniqueName="[ТаблПогрузкаМоряк].[Вес  погруженный]" caption="Вес  погруженный" attribute="1" defaultMemberUniqueName="[ТаблПогрузкаМоряк].[Вес  погруженный].[All]" allUniqueName="[ТаблПогрузкаМоряк].[Вес  погруженный].[All]" dimensionUniqueName="[ТаблПогрузкаМоряк]" displayFolder="" count="0" memberValueDatatype="5" unbalanced="0"/>
    <cacheHierarchy uniqueName="[ТаблПогрузкаМоряк].[Накопитель]" caption="Накопитель" attribute="1" defaultMemberUniqueName="[ТаблПогрузкаМоряк].[Накопитель].[All]" allUniqueName="[ТаблПогрузкаМоряк].[Накопитель].[All]" dimensionUniqueName="[ТаблПогрузкаМоряк]" displayFolder="" count="2" memberValueDatatype="130" unbalanced="0"/>
    <cacheHierarchy uniqueName="[ТаблПогрузкаМоряк].[Дата  начала  грузовых операций]" caption="Дата  начала  грузовых операций" attribute="1" time="1" defaultMemberUniqueName="[ТаблПогрузкаМоряк].[Дата  начала  грузовых операций].[All]" allUniqueName="[ТаблПогрузкаМоряк].[Дата  начала  грузовых операций].[All]" dimensionUniqueName="[ТаблПогрузкаМоряк]" displayFolder="" count="0" memberValueDatatype="7" unbalanced="0"/>
    <cacheHierarchy uniqueName="[ТаблПогрузкаМоряк].[Дата  окончания грузовых операций]" caption="Дата  окончания грузовых операций" attribute="1" time="1" defaultMemberUniqueName="[ТаблПогрузкаМоряк].[Дата  окончания грузовых операций].[All]" allUniqueName="[ТаблПогрузкаМоряк].[Дата  окончания грузовых операций].[All]" dimensionUniqueName="[ТаблПогрузкаМоряк]" displayFolder="" count="0" memberValueDatatype="7" unbalanced="0"/>
    <cacheHierarchy uniqueName="[ТаблПогрузкаМоряк].[Морское Судно]" caption="Морское Судно" attribute="1" defaultMemberUniqueName="[ТаблПогрузкаМоряк].[Морское Судно].[All]" allUniqueName="[ТаблПогрузкаМоряк].[Морское Судно].[All]" dimensionUniqueName="[ТаблПогрузкаМоряк]" displayFolder="" count="2" memberValueDatatype="130" unbalanced="0"/>
    <cacheHierarchy uniqueName="[ТаблПогрузкаМоряк].[Дата  составления  B\L Морского Судна]" caption="Дата  составления  B\L Морского Судна" attribute="1" time="1" defaultMemberUniqueName="[ТаблПогрузкаМоряк].[Дата  составления  B\L Морского Судна].[All]" allUniqueName="[ТаблПогрузкаМоряк].[Дата  составления  B\L Морского Судна].[All]" dimensionUniqueName="[ТаблПогрузкаМоряк]" displayFolder="" count="2" memberValueDatatype="7" unbalanced="0"/>
    <cacheHierarchy uniqueName="[ТаблПогрузкаМоряк].[Отправитель]" caption="Отправитель" attribute="1" defaultMemberUniqueName="[ТаблПогрузкаМоряк].[Отправитель].[All]" allUniqueName="[ТаблПогрузкаМоряк].[Отправитель].[All]" dimensionUniqueName="[ТаблПогрузкаМоряк]" displayFolder="" count="0" memberValueDatatype="130" unbalanced="0"/>
    <cacheHierarchy uniqueName="[ТаблПогрузкаМоряк].[Id key]" caption="Id key" attribute="1" defaultMemberUniqueName="[ТаблПогрузкаМоряк].[Id key].[All]" allUniqueName="[ТаблПогрузкаМоряк].[Id key].[All]" dimensionUniqueName="[ТаблПогрузкаМоряк]" displayFolder="" count="0" memberValueDatatype="130" unbalanced="0"/>
    <cacheHierarchy uniqueName="[ТаблПогрузкаМоряк].[Дата направления уведомления]" caption="Дата направления уведомления" attribute="1" time="1" defaultMemberUniqueName="[ТаблПогрузкаМоряк].[Дата направления уведомления].[All]" allUniqueName="[ТаблПогрузкаМоряк].[Дата направления уведомления].[All]" dimensionUniqueName="[ТаблПогрузкаМоряк]" displayFolder="" count="0" memberValueDatatype="7" unbalanced="0"/>
    <cacheHierarchy uniqueName="[ТаблПогрузкаМоряк].[Calculated Column 1]" caption="Calculated Column 1" attribute="1" defaultMemberUniqueName="[ТаблПогрузкаМоряк].[Calculated Column 1].[All]" allUniqueName="[ТаблПогрузкаМоряк].[Calculated Column 1].[All]" dimensionUniqueName="[ТаблПогрузкаМоряк]" displayFolder="" count="0" memberValueDatatype="20" unbalanced="0"/>
    <cacheHierarchy uniqueName="[ТаблПогрузкаМоряк].[Произв.Неделя]" caption="Произв.Неделя" attribute="1" defaultMemberUniqueName="[ТаблПогрузкаМоряк].[Произв.Неделя].[All]" allUniqueName="[ТаблПогрузкаМоряк].[Произв.Неделя].[All]" dimensionUniqueName="[ТаблПогрузкаМоряк]" displayFolder="" count="2" memberValueDatatype="20" unbalanced="0"/>
    <cacheHierarchy uniqueName="[ТаблПогрузкаМоряк].[месяц]" caption="месяц" attribute="1" defaultMemberUniqueName="[ТаблПогрузкаМоряк].[месяц].[All]" allUniqueName="[ТаблПогрузкаМоряк].[месяц].[All]" dimensionUniqueName="[ТаблПогрузкаМоряк]" displayFolder="" count="2" memberValueDatatype="130" unbalanced="0"/>
    <cacheHierarchy uniqueName="[ТаблПогрузкаМоряк].[год]" caption="год" attribute="1" defaultMemberUniqueName="[ТаблПогрузкаМоряк].[год].[All]" allUniqueName="[ТаблПогрузкаМоряк].[год].[All]" dimensionUniqueName="[ТаблПогрузкаМоряк]" displayFolder="" count="0" memberValueDatatype="20" unbalanced="0"/>
    <cacheHierarchy uniqueName="[ТаблПогруз].[Дата  составления  B\L (Индекс месяца)]" caption="Дата  составления  B\L (Индекс месяца)" attribute="1" defaultMemberUniqueName="[ТаблПогруз].[Дата  составления  B\L (Индекс месяца)].[All]" allUniqueName="[ТаблПогруз].[Дата  составления  B\L (Индекс месяца)].[All]" dimensionUniqueName="[ТаблПогруз]" displayFolder="" count="0" memberValueDatatype="20" unbalanced="0" hidden="1"/>
    <cacheHierarchy uniqueName="[Measures].[__XL_Count Таблица1]" caption="__XL_Count Таблица1" measure="1" displayFolder="" measureGroup="ТаблПогруз" count="0" hidden="1"/>
    <cacheHierarchy uniqueName="[Measures].[__XL_Count Таблица16]" caption="__XL_Count Таблица16" measure="1" displayFolder="" measureGroup="ТаблВыгрузка" count="0" hidden="1"/>
    <cacheHierarchy uniqueName="[Measures].[__XL_Count Таблица163]" caption="__XL_Count Таблица163" measure="1" displayFolder="" measureGroup="ТаблПогрузкаМоряк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Вес  погруженный]" caption="Сумма по столбцу Вес  погруженный" measure="1" displayFolder="" measureGroup="ТаблПогрузкаМоряк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Сумма по столбцу Вес по  B\L]" caption="Сумма по столбцу Вес по  B\L" measure="1" displayFolder="" measureGroup="ТаблПогруз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Отправитель]" caption="Число элементов в столбце Отправитель" measure="1" displayFolder="" measureGroup="ТаблПогрузкаМоряк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55" applyNumberFormats="0" applyBorderFormats="0" applyFontFormats="0" applyPatternFormats="0" applyAlignmentFormats="0" applyWidthHeightFormats="1" dataCaption="Значения" tag="709a9bb8-5515-4319-a4d8-29195168cf90" updatedVersion="6" minRefreshableVersion="3" showDrill="0" subtotalHiddenItems="1" itemPrintTitles="1" createdVersion="5" indent="0" compact="0" compactData="0" multipleFieldFilters="0">
  <location ref="B8:I37" firstHeaderRow="1" firstDataRow="1" firstDataCol="7"/>
  <pivotFields count="10">
    <pivotField axis="axisRow" compact="0" allDrilled="1" outline="0" showAll="0" defaultSubtotal="0" defaultAttributeDrillState="1">
      <items count="6">
        <item x="3"/>
        <item x="4"/>
        <item x="0"/>
        <item x="1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Речное судно " axis="axisRow" compact="0" allDrilled="1" outline="0" showAll="0" defaultSubtotal="0" defaultAttributeDrillState="1">
      <items count="17">
        <item x="7"/>
        <item x="3"/>
        <item x="6"/>
        <item x="16"/>
        <item x="4"/>
        <item x="2"/>
        <item x="0"/>
        <item x="10"/>
        <item x="11"/>
        <item x="12"/>
        <item x="13"/>
        <item x="14"/>
        <item x="1"/>
        <item x="15"/>
        <item x="5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Дата  составления  B\L речника" axis="axisRow" compact="0" allDrilled="1" outline="0" showAll="0" defaultSubtotal="0" defaultAttributeDrillState="1">
      <items count="41">
        <item x="14"/>
        <item x="18"/>
        <item x="17"/>
        <item x="19"/>
        <item x="16"/>
        <item x="20"/>
        <item x="21"/>
        <item x="22"/>
        <item x="23"/>
        <item x="24"/>
        <item x="25"/>
        <item x="26"/>
        <item x="27"/>
        <item x="3"/>
        <item x="28"/>
        <item x="29"/>
        <item x="30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5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Вес по  B\L речника" axis="axisRow" compact="0" allDrilled="1" outline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Отправитель.Моряк "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Отправитель. Речник"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6"/>
    <field x="1"/>
    <field x="2"/>
    <field x="7"/>
    <field x="4"/>
    <field x="5"/>
  </rowFields>
  <rowItems count="29">
    <i>
      <x v="2"/>
      <x/>
      <x v="1"/>
      <x/>
      <x/>
      <x v="13"/>
      <x v="3"/>
    </i>
    <i r="5">
      <x v="20"/>
      <x v="4"/>
    </i>
    <i r="5">
      <x v="21"/>
      <x v="5"/>
    </i>
    <i r="2">
      <x v="2"/>
      <x/>
      <x/>
      <x v="24"/>
      <x v="9"/>
    </i>
    <i r="2">
      <x v="4"/>
      <x v="1"/>
      <x/>
      <x v="13"/>
      <x v="6"/>
    </i>
    <i r="3">
      <x/>
      <x/>
      <x v="22"/>
      <x v="7"/>
    </i>
    <i r="2">
      <x v="5"/>
      <x/>
      <x/>
      <x v="19"/>
      <x v="2"/>
    </i>
    <i r="2">
      <x v="6"/>
      <x/>
      <x/>
      <x v="17"/>
      <x/>
    </i>
    <i r="2">
      <x v="12"/>
      <x/>
      <x/>
      <x v="18"/>
      <x v="1"/>
    </i>
    <i r="2">
      <x v="14"/>
      <x v="2"/>
      <x/>
      <x v="23"/>
      <x v="8"/>
    </i>
    <i>
      <x v="3"/>
      <x/>
      <x/>
      <x/>
      <x/>
      <x v="25"/>
      <x v="10"/>
    </i>
    <i r="2">
      <x v="1"/>
      <x/>
      <x/>
      <x v="21"/>
      <x v="5"/>
    </i>
    <i r="2">
      <x v="2"/>
      <x/>
      <x/>
      <x v="28"/>
      <x v="19"/>
    </i>
    <i r="2">
      <x v="4"/>
      <x v="1"/>
      <x/>
      <x v="19"/>
      <x v="17"/>
    </i>
    <i r="3">
      <x/>
      <x/>
      <x v="25"/>
      <x v="18"/>
    </i>
    <i r="2">
      <x v="5"/>
      <x v="1"/>
      <x/>
      <x v="28"/>
      <x v="14"/>
    </i>
    <i r="2">
      <x v="6"/>
      <x/>
      <x/>
      <x v="27"/>
      <x v="12"/>
    </i>
    <i r="2">
      <x v="7"/>
      <x/>
      <x/>
      <x/>
      <x v="16"/>
    </i>
    <i r="5">
      <x v="29"/>
      <x v="15"/>
    </i>
    <i r="2">
      <x v="8"/>
      <x/>
      <x/>
      <x v="30"/>
      <x v="20"/>
    </i>
    <i r="2">
      <x v="15"/>
      <x/>
      <x/>
      <x v="26"/>
      <x v="11"/>
    </i>
    <i r="2">
      <x v="16"/>
      <x/>
      <x/>
      <x v="27"/>
      <x v="13"/>
    </i>
    <i>
      <x v="5"/>
      <x/>
      <x/>
      <x v="1"/>
      <x/>
      <x v="4"/>
      <x v="21"/>
    </i>
    <i r="2">
      <x v="1"/>
      <x/>
      <x/>
      <x v="1"/>
      <x v="24"/>
    </i>
    <i r="2">
      <x v="5"/>
      <x/>
      <x/>
      <x v="2"/>
      <x v="23"/>
    </i>
    <i r="2">
      <x v="7"/>
      <x/>
      <x/>
      <x/>
      <x v="16"/>
    </i>
    <i r="2">
      <x v="8"/>
      <x/>
      <x/>
      <x v="3"/>
      <x v="25"/>
    </i>
    <i r="2">
      <x v="9"/>
      <x v="1"/>
      <x/>
      <x v="2"/>
      <x v="22"/>
    </i>
    <i t="grand">
      <x/>
    </i>
  </rowItems>
  <colItems count="1">
    <i/>
  </colItems>
  <dataFields count="1">
    <dataField name=" Вес погр в Морское Судно " fld="3" baseField="2" baseItem="1" numFmtId="164"/>
  </dataFields>
  <formats count="118">
    <format dxfId="589">
      <pivotArea dataOnly="0" labelOnly="1" outline="0" axis="axisValues" fieldPosition="0"/>
    </format>
    <format dxfId="588">
      <pivotArea dataOnly="0" labelOnly="1" outline="0" axis="axisValues" fieldPosition="0"/>
    </format>
    <format dxfId="587">
      <pivotArea dataOnly="0" labelOnly="1" outline="0" axis="axisValues" fieldPosition="0"/>
    </format>
    <format dxfId="586">
      <pivotArea dataOnly="0" labelOnly="1" outline="0" axis="axisValues" fieldPosition="0"/>
    </format>
    <format dxfId="585">
      <pivotArea field="4" type="button" dataOnly="0" labelOnly="1" outline="0" axis="axisRow" fieldPosition="5"/>
    </format>
    <format dxfId="584">
      <pivotArea field="4" type="button" dataOnly="0" labelOnly="1" outline="0" axis="axisRow" fieldPosition="5"/>
    </format>
    <format dxfId="583">
      <pivotArea field="5" type="button" dataOnly="0" labelOnly="1" outline="0" axis="axisRow" fieldPosition="6"/>
    </format>
    <format dxfId="582">
      <pivotArea field="5" type="button" dataOnly="0" labelOnly="1" outline="0" axis="axisRow" fieldPosition="6"/>
    </format>
    <format dxfId="581">
      <pivotArea field="5" type="button" dataOnly="0" labelOnly="1" outline="0" axis="axisRow" fieldPosition="6"/>
    </format>
    <format dxfId="580">
      <pivotArea field="5" type="button" dataOnly="0" labelOnly="1" outline="0" axis="axisRow" fieldPosition="6"/>
    </format>
    <format dxfId="579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78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3"/>
          </reference>
        </references>
      </pivotArea>
    </format>
    <format dxfId="577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3"/>
          </reference>
        </references>
      </pivotArea>
    </format>
    <format dxfId="576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2" count="1">
            <x v="0"/>
          </reference>
        </references>
      </pivotArea>
    </format>
    <format dxfId="575">
      <pivotArea dataOnly="0" labelOnly="1" outline="0" fieldPosition="0">
        <references count="3">
          <reference field="0" count="0" selected="0"/>
          <reference field="1" count="1" selected="0">
            <x v="3"/>
          </reference>
          <reference field="2" count="2">
            <x v="0"/>
            <x v="4"/>
          </reference>
        </references>
      </pivotArea>
    </format>
    <format dxfId="574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73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72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71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70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69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68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67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66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65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64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563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62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0"/>
          </reference>
        </references>
      </pivotArea>
    </format>
    <format dxfId="561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2">
            <x v="0"/>
            <x v="1"/>
          </reference>
        </references>
      </pivotArea>
    </format>
    <format dxfId="560">
      <pivotArea dataOnly="0" labelOnly="1" outline="0" fieldPosition="0">
        <references count="3">
          <reference field="0" count="0" selected="0"/>
          <reference field="1" count="1" selected="0">
            <x v="5"/>
          </reference>
          <reference field="2" count="1">
            <x v="0"/>
          </reference>
        </references>
      </pivotArea>
    </format>
    <format dxfId="559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0"/>
          </reference>
        </references>
      </pivotArea>
    </format>
    <format dxfId="558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2">
            <x v="0"/>
            <x v="1"/>
          </reference>
        </references>
      </pivotArea>
    </format>
    <format dxfId="557">
      <pivotArea dataOnly="0" labelOnly="1" outline="0" fieldPosition="0">
        <references count="3">
          <reference field="0" count="0" selected="0"/>
          <reference field="1" count="1" selected="0">
            <x v="5"/>
          </reference>
          <reference field="2" count="1">
            <x v="0"/>
          </reference>
        </references>
      </pivotArea>
    </format>
    <format dxfId="556">
      <pivotArea field="2" type="button" dataOnly="0" labelOnly="1" outline="0" axis="axisRow" fieldPosition="3"/>
    </format>
    <format dxfId="555">
      <pivotArea field="4" type="button" dataOnly="0" labelOnly="1" outline="0" axis="axisRow" fieldPosition="5"/>
    </format>
    <format dxfId="554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53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552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551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50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549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548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47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546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545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44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543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542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>
            <x v="0"/>
          </reference>
          <reference field="6" count="0" selected="0"/>
        </references>
      </pivotArea>
    </format>
    <format dxfId="541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540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1"/>
          </reference>
          <reference field="6" count="0" selected="0"/>
        </references>
      </pivotArea>
    </format>
    <format dxfId="539">
      <pivotArea dataOnly="0" labelOnly="1" outline="0" fieldPosition="0">
        <references count="4">
          <reference field="0" count="0" selected="0"/>
          <reference field="1" count="1" selected="0">
            <x v="6"/>
          </reference>
          <reference field="2" count="1">
            <x v="0"/>
          </reference>
          <reference field="6" count="0" selected="0"/>
        </references>
      </pivotArea>
    </format>
    <format dxfId="538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>
            <x v="0"/>
          </reference>
          <reference field="6" count="0" selected="0"/>
        </references>
      </pivotArea>
    </format>
    <format dxfId="537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536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1"/>
          </reference>
          <reference field="6" count="0" selected="0"/>
        </references>
      </pivotArea>
    </format>
    <format dxfId="535">
      <pivotArea dataOnly="0" labelOnly="1" outline="0" fieldPosition="0">
        <references count="4">
          <reference field="0" count="0" selected="0"/>
          <reference field="1" count="1" selected="0">
            <x v="6"/>
          </reference>
          <reference field="2" count="1">
            <x v="0"/>
          </reference>
          <reference field="6" count="0" selected="0"/>
        </references>
      </pivotArea>
    </format>
    <format dxfId="534">
      <pivotArea dataOnly="0" labelOnly="1" outline="0" fieldPosition="0">
        <references count="3">
          <reference field="0" count="0" selected="0"/>
          <reference field="1" count="6">
            <x v="0"/>
            <x v="1"/>
            <x v="5"/>
            <x v="7"/>
            <x v="8"/>
            <x v="9"/>
          </reference>
          <reference field="6" count="0" selected="0"/>
        </references>
      </pivotArea>
    </format>
    <format dxfId="533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>
            <x v="1"/>
          </reference>
          <reference field="6" count="0" selected="0"/>
        </references>
      </pivotArea>
    </format>
    <format dxfId="532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31">
      <pivotArea dataOnly="0" labelOnly="1" outline="0" fieldPosition="0">
        <references count="4">
          <reference field="0" count="0" selected="0"/>
          <reference field="1" count="1" selected="0">
            <x v="9"/>
          </reference>
          <reference field="2" count="1">
            <x v="1"/>
          </reference>
          <reference field="6" count="0" selected="0"/>
        </references>
      </pivotArea>
    </format>
    <format dxfId="530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4" count="1">
            <x v="4"/>
          </reference>
          <reference field="6" count="0" selected="0"/>
          <reference field="7" count="0" selected="0"/>
        </references>
      </pivotArea>
    </format>
    <format dxfId="529">
      <pivotArea dataOnly="0" labelOnly="1" outline="0" fieldPosition="0">
        <references count="6">
          <reference field="0" count="0" selected="0"/>
          <reference field="1" count="1" selected="0">
            <x v="1"/>
          </reference>
          <reference field="2" count="1" selected="0">
            <x v="0"/>
          </reference>
          <reference field="4" count="1">
            <x v="1"/>
          </reference>
          <reference field="6" count="0" selected="0"/>
          <reference field="7" count="0" selected="0"/>
        </references>
      </pivotArea>
    </format>
    <format dxfId="528">
      <pivotArea dataOnly="0" labelOnly="1" outline="0" fieldPosition="0">
        <references count="6">
          <reference field="0" count="0" selected="0"/>
          <reference field="1" count="1" selected="0">
            <x v="5"/>
          </reference>
          <reference field="2" count="1" selected="0">
            <x v="0"/>
          </reference>
          <reference field="4" count="1">
            <x v="2"/>
          </reference>
          <reference field="6" count="0" selected="0"/>
          <reference field="7" count="0" selected="0"/>
        </references>
      </pivotArea>
    </format>
    <format dxfId="527">
      <pivotArea dataOnly="0" labelOnly="1" outline="0" fieldPosition="0">
        <references count="6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4" count="1">
            <x v="0"/>
          </reference>
          <reference field="6" count="0" selected="0"/>
          <reference field="7" count="0" selected="0"/>
        </references>
      </pivotArea>
    </format>
    <format dxfId="526">
      <pivotArea dataOnly="0" labelOnly="1" outline="0" fieldPosition="0">
        <references count="6">
          <reference field="0" count="0" selected="0"/>
          <reference field="1" count="1" selected="0">
            <x v="8"/>
          </reference>
          <reference field="2" count="1" selected="0">
            <x v="0"/>
          </reference>
          <reference field="4" count="1">
            <x v="3"/>
          </reference>
          <reference field="6" count="0" selected="0"/>
          <reference field="7" count="0" selected="0"/>
        </references>
      </pivotArea>
    </format>
    <format dxfId="525">
      <pivotArea dataOnly="0" labelOnly="1" outline="0" fieldPosition="0">
        <references count="6">
          <reference field="0" count="0" selected="0"/>
          <reference field="1" count="1" selected="0">
            <x v="9"/>
          </reference>
          <reference field="2" count="1" selected="0">
            <x v="1"/>
          </reference>
          <reference field="4" count="1">
            <x v="2"/>
          </reference>
          <reference field="6" count="0" selected="0"/>
          <reference field="7" count="0" selected="0"/>
        </references>
      </pivotArea>
    </format>
    <format dxfId="524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23">
      <pivotArea dataOnly="0" labelOnly="1" outline="0" fieldPosition="0">
        <references count="4">
          <reference field="0" count="0" selected="0"/>
          <reference field="1" count="1" selected="0">
            <x v="10"/>
          </reference>
          <reference field="2" count="1">
            <x v="2"/>
          </reference>
          <reference field="6" count="0" selected="0"/>
        </references>
      </pivotArea>
    </format>
    <format dxfId="522">
      <pivotArea dataOnly="0" labelOnly="1" outline="0" fieldPosition="0">
        <references count="4">
          <reference field="0" count="0" selected="0"/>
          <reference field="1" count="1" selected="0">
            <x v="11"/>
          </reference>
          <reference field="2" count="1">
            <x v="1"/>
          </reference>
          <reference field="6" count="0" selected="0"/>
        </references>
      </pivotArea>
    </format>
    <format dxfId="521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520">
      <pivotArea dataOnly="0" labelOnly="1" outline="0" fieldPosition="0">
        <references count="4">
          <reference field="0" count="0" selected="0"/>
          <reference field="1" count="1" selected="0">
            <x v="10"/>
          </reference>
          <reference field="2" count="1">
            <x v="2"/>
          </reference>
          <reference field="6" count="0" selected="0"/>
        </references>
      </pivotArea>
    </format>
    <format dxfId="519">
      <pivotArea dataOnly="0" labelOnly="1" outline="0" fieldPosition="0">
        <references count="4">
          <reference field="0" count="0" selected="0"/>
          <reference field="1" count="1" selected="0">
            <x v="11"/>
          </reference>
          <reference field="2" count="1">
            <x v="1"/>
          </reference>
          <reference field="6" count="0" selected="0"/>
        </references>
      </pivotArea>
    </format>
    <format dxfId="51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>
            <x v="6"/>
          </reference>
          <reference field="6" count="0" selected="0"/>
          <reference field="7" count="0" selected="0"/>
        </references>
      </pivotArea>
    </format>
    <format dxfId="51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>
            <x v="5"/>
          </reference>
          <reference field="6" count="0" selected="0"/>
          <reference field="7" count="0" selected="0"/>
        </references>
      </pivotArea>
    </format>
    <format dxfId="51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  <reference field="4" count="1">
            <x v="7"/>
          </reference>
          <reference field="6" count="0" selected="0"/>
          <reference field="7" count="0" selected="0"/>
        </references>
      </pivotArea>
    </format>
    <format dxfId="515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4" count="2">
            <x v="8"/>
            <x v="9"/>
          </reference>
          <reference field="6" count="0" selected="0"/>
          <reference field="7" count="0" selected="0"/>
        </references>
      </pivotArea>
    </format>
    <format dxfId="514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4" count="1">
            <x v="12"/>
          </reference>
          <reference field="6" count="0" selected="0"/>
          <reference field="7" count="0" selected="0"/>
        </references>
      </pivotArea>
    </format>
    <format dxfId="513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0"/>
          </reference>
          <reference field="4" count="1">
            <x v="13"/>
          </reference>
          <reference field="6" count="0" selected="0"/>
          <reference field="7" count="0" selected="0"/>
        </references>
      </pivotArea>
    </format>
    <format dxfId="512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0"/>
          </reference>
          <reference field="4" count="1">
            <x v="16"/>
          </reference>
          <reference field="6" count="0" selected="0"/>
          <reference field="7" count="0" selected="0"/>
        </references>
      </pivotArea>
    </format>
    <format dxfId="511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4"/>
          </reference>
          <reference field="2" count="1" selected="0">
            <x v="0"/>
          </reference>
          <reference field="4" count="2">
            <x v="14"/>
            <x v="15"/>
          </reference>
          <reference field="6" count="0" selected="0"/>
          <reference field="7" count="0" selected="0"/>
        </references>
      </pivotArea>
    </format>
    <format dxfId="510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2"/>
          </reference>
          <reference field="2" count="1" selected="0">
            <x v="0"/>
          </reference>
          <reference field="4" count="1">
            <x v="10"/>
          </reference>
          <reference field="6" count="0" selected="0"/>
          <reference field="7" count="0" selected="0"/>
        </references>
      </pivotArea>
    </format>
    <format dxfId="509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3"/>
          </reference>
          <reference field="2" count="1" selected="0">
            <x v="0"/>
          </reference>
          <reference field="4" count="1">
            <x v="11"/>
          </reference>
          <reference field="6" count="0" selected="0"/>
          <reference field="7" count="0" selected="0"/>
        </references>
      </pivotArea>
    </format>
    <format dxfId="508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1"/>
          </reference>
          <reference field="2" count="1" selected="0">
            <x v="0"/>
          </reference>
          <reference field="4" count="3">
            <x v="13"/>
            <x v="20"/>
            <x v="21"/>
          </reference>
          <reference field="6" count="0" selected="0"/>
          <reference field="7" count="0" selected="0"/>
        </references>
      </pivotArea>
    </format>
    <format dxfId="507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2"/>
          </reference>
          <reference field="2" count="1" selected="0">
            <x v="0"/>
          </reference>
          <reference field="4" count="1">
            <x v="24"/>
          </reference>
          <reference field="6" count="0" selected="0"/>
          <reference field="7" count="0" selected="0"/>
        </references>
      </pivotArea>
    </format>
    <format dxfId="506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4" count="1">
            <x v="13"/>
          </reference>
          <reference field="6" count="0" selected="0"/>
          <reference field="7" count="0" selected="0"/>
        </references>
      </pivotArea>
    </format>
    <format dxfId="505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4"/>
          </reference>
          <reference field="2" count="1" selected="0">
            <x v="0"/>
          </reference>
          <reference field="4" count="1">
            <x v="22"/>
          </reference>
          <reference field="6" count="0" selected="0"/>
          <reference field="7" count="0" selected="0"/>
        </references>
      </pivotArea>
    </format>
    <format dxfId="504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5"/>
          </reference>
          <reference field="2" count="1" selected="0">
            <x v="0"/>
          </reference>
          <reference field="4" count="1">
            <x v="19"/>
          </reference>
          <reference field="6" count="0" selected="0"/>
          <reference field="7" count="0" selected="0"/>
        </references>
      </pivotArea>
    </format>
    <format dxfId="503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6"/>
          </reference>
          <reference field="2" count="1" selected="0">
            <x v="0"/>
          </reference>
          <reference field="4" count="1">
            <x v="17"/>
          </reference>
          <reference field="6" count="0" selected="0"/>
          <reference field="7" count="0" selected="0"/>
        </references>
      </pivotArea>
    </format>
    <format dxfId="502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12"/>
          </reference>
          <reference field="2" count="1" selected="0">
            <x v="0"/>
          </reference>
          <reference field="4" count="1">
            <x v="18"/>
          </reference>
          <reference field="6" count="0" selected="0"/>
          <reference field="7" count="0" selected="0"/>
        </references>
      </pivotArea>
    </format>
    <format dxfId="501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14"/>
          </reference>
          <reference field="2" count="1" selected="0">
            <x v="2"/>
          </reference>
          <reference field="4" count="1">
            <x v="23"/>
          </reference>
          <reference field="6" count="0" selected="0"/>
          <reference field="7" count="0" selected="0"/>
        </references>
      </pivotArea>
    </format>
    <format dxfId="500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4" count="1">
            <x v="25"/>
          </reference>
          <reference field="6" count="0" selected="0"/>
          <reference field="7" count="0" selected="0"/>
        </references>
      </pivotArea>
    </format>
    <format dxfId="499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1"/>
          </reference>
          <reference field="2" count="1" selected="0">
            <x v="0"/>
          </reference>
          <reference field="4" count="1">
            <x v="21"/>
          </reference>
          <reference field="6" count="0" selected="0"/>
          <reference field="7" count="0" selected="0"/>
        </references>
      </pivotArea>
    </format>
    <format dxfId="498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0"/>
          </reference>
          <reference field="4" count="1">
            <x v="28"/>
          </reference>
          <reference field="6" count="0" selected="0"/>
          <reference field="7" count="0" selected="0"/>
        </references>
      </pivotArea>
    </format>
    <format dxfId="497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4" count="1">
            <x v="19"/>
          </reference>
          <reference field="6" count="0" selected="0"/>
          <reference field="7" count="0" selected="0"/>
        </references>
      </pivotArea>
    </format>
    <format dxfId="496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4"/>
          </reference>
          <reference field="2" count="1" selected="0">
            <x v="0"/>
          </reference>
          <reference field="4" count="1">
            <x v="25"/>
          </reference>
          <reference field="6" count="0" selected="0"/>
          <reference field="7" count="0" selected="0"/>
        </references>
      </pivotArea>
    </format>
    <format dxfId="49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4" count="1">
            <x v="28"/>
          </reference>
          <reference field="6" count="0" selected="0"/>
          <reference field="7" count="0" selected="0"/>
        </references>
      </pivotArea>
    </format>
    <format dxfId="494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2" count="1" selected="0">
            <x v="0"/>
          </reference>
          <reference field="4" count="1">
            <x v="27"/>
          </reference>
          <reference field="6" count="0" selected="0"/>
          <reference field="7" count="0" selected="0"/>
        </references>
      </pivotArea>
    </format>
    <format dxfId="493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7"/>
          </reference>
          <reference field="2" count="1" selected="0">
            <x v="0"/>
          </reference>
          <reference field="4" count="2">
            <x v="0"/>
            <x v="29"/>
          </reference>
          <reference field="6" count="0" selected="0"/>
          <reference field="7" count="0" selected="0"/>
        </references>
      </pivotArea>
    </format>
    <format dxfId="492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8"/>
          </reference>
          <reference field="2" count="1" selected="0">
            <x v="0"/>
          </reference>
          <reference field="4" count="1">
            <x v="30"/>
          </reference>
          <reference field="6" count="0" selected="0"/>
          <reference field="7" count="0" selected="0"/>
        </references>
      </pivotArea>
    </format>
    <format dxfId="491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15"/>
          </reference>
          <reference field="2" count="1" selected="0">
            <x v="0"/>
          </reference>
          <reference field="4" count="1">
            <x v="26"/>
          </reference>
          <reference field="6" count="0" selected="0"/>
          <reference field="7" count="0" selected="0"/>
        </references>
      </pivotArea>
    </format>
    <format dxfId="490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16"/>
          </reference>
          <reference field="2" count="1" selected="0">
            <x v="0"/>
          </reference>
          <reference field="4" count="1">
            <x v="27"/>
          </reference>
          <reference field="6" count="0" selected="0"/>
          <reference field="7" count="0" selected="0"/>
        </references>
      </pivotArea>
    </format>
    <format dxfId="489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0"/>
          </reference>
          <reference field="2" count="1" selected="0">
            <x v="3"/>
          </reference>
          <reference field="4" count="1">
            <x v="31"/>
          </reference>
          <reference field="6" count="0" selected="0"/>
          <reference field="7" count="0" selected="0"/>
        </references>
      </pivotArea>
    </format>
    <format dxfId="488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2"/>
          </reference>
          <reference field="2" count="1" selected="0">
            <x v="0"/>
          </reference>
          <reference field="4" count="1">
            <x v="37"/>
          </reference>
          <reference field="6" count="0" selected="0"/>
          <reference field="7" count="0" selected="0"/>
        </references>
      </pivotArea>
    </format>
    <format dxfId="487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3"/>
          </reference>
          <reference field="2" count="1" selected="0">
            <x v="4"/>
          </reference>
          <reference field="4" count="1">
            <x v="38"/>
          </reference>
          <reference field="6" count="0" selected="0"/>
          <reference field="7" count="0" selected="0"/>
        </references>
      </pivotArea>
    </format>
    <format dxfId="486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3"/>
          </reference>
          <reference field="2" count="1" selected="0">
            <x v="0"/>
          </reference>
          <reference field="4" count="1">
            <x v="39"/>
          </reference>
          <reference field="6" count="0" selected="0"/>
          <reference field="7" count="0" selected="0"/>
        </references>
      </pivotArea>
    </format>
    <format dxfId="485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4"/>
          </reference>
          <reference field="2" count="1" selected="0">
            <x v="0"/>
          </reference>
          <reference field="4" count="1">
            <x v="35"/>
          </reference>
          <reference field="6" count="0" selected="0"/>
          <reference field="7" count="0" selected="0"/>
        </references>
      </pivotArea>
    </format>
    <format dxfId="484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7"/>
          </reference>
          <reference field="2" count="1" selected="0">
            <x v="0"/>
          </reference>
          <reference field="4" count="2">
            <x v="33"/>
            <x v="34"/>
          </reference>
          <reference field="6" count="0" selected="0"/>
          <reference field="7" count="0" selected="0"/>
        </references>
      </pivotArea>
    </format>
    <format dxfId="483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13"/>
          </reference>
          <reference field="2" count="1" selected="0">
            <x v="0"/>
          </reference>
          <reference field="4" count="1">
            <x v="32"/>
          </reference>
          <reference field="6" count="0" selected="0"/>
          <reference field="7" count="0" selected="0"/>
        </references>
      </pivotArea>
    </format>
    <format dxfId="482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14"/>
          </reference>
          <reference field="2" count="1" selected="0">
            <x v="0"/>
          </reference>
          <reference field="4" count="2">
            <x v="33"/>
            <x v="36"/>
          </reference>
          <reference field="6" count="0" selected="0"/>
          <reference field="7" count="0" selected="0"/>
        </references>
      </pivotArea>
    </format>
    <format dxfId="481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0"/>
          </reference>
          <reference field="2" count="1" selected="0">
            <x v="1"/>
          </reference>
          <reference field="4" count="1">
            <x v="4"/>
          </reference>
          <reference field="6" count="0" selected="0"/>
          <reference field="7" count="0" selected="0"/>
        </references>
      </pivotArea>
    </format>
    <format dxfId="480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4" count="1">
            <x v="9"/>
          </reference>
          <reference field="6" count="0" selected="0"/>
          <reference field="7" count="0" selected="0"/>
        </references>
      </pivotArea>
    </format>
    <format dxfId="479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1"/>
          </reference>
          <reference field="2" count="1" selected="0">
            <x v="0"/>
          </reference>
          <reference field="4" count="1">
            <x v="1"/>
          </reference>
          <reference field="6" count="0" selected="0"/>
          <reference field="7" count="0" selected="0"/>
        </references>
      </pivotArea>
    </format>
    <format dxfId="478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4" count="1">
            <x v="34"/>
          </reference>
          <reference field="6" count="0" selected="0"/>
          <reference field="7" count="0" selected="0"/>
        </references>
      </pivotArea>
    </format>
    <format dxfId="477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5"/>
          </reference>
          <reference field="2" count="1" selected="0">
            <x v="0"/>
          </reference>
          <reference field="4" count="1">
            <x v="2"/>
          </reference>
          <reference field="6" count="0" selected="0"/>
          <reference field="7" count="0" selected="0"/>
        </references>
      </pivotArea>
    </format>
    <format dxfId="476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6"/>
          </reference>
          <reference field="2" count="1" selected="0">
            <x v="0"/>
          </reference>
          <reference field="4" count="1">
            <x v="40"/>
          </reference>
          <reference field="6" count="0" selected="0"/>
          <reference field="7" count="0" selected="0"/>
        </references>
      </pivotArea>
    </format>
    <format dxfId="475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7"/>
          </reference>
          <reference field="2" count="1" selected="0">
            <x v="0"/>
          </reference>
          <reference field="4" count="2">
            <x v="0"/>
            <x v="34"/>
          </reference>
          <reference field="6" count="0" selected="0"/>
          <reference field="7" count="0" selected="0"/>
        </references>
      </pivotArea>
    </format>
    <format dxfId="474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8"/>
          </reference>
          <reference field="2" count="1" selected="0">
            <x v="0"/>
          </reference>
          <reference field="4" count="1">
            <x v="3"/>
          </reference>
          <reference field="6" count="0" selected="0"/>
          <reference field="7" count="0" selected="0"/>
        </references>
      </pivotArea>
    </format>
    <format dxfId="473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9"/>
          </reference>
          <reference field="2" count="1" selected="0">
            <x v="1"/>
          </reference>
          <reference field="4" count="1">
            <x v="2"/>
          </reference>
          <reference field="6" count="0" selected="0"/>
          <reference field="7" count="0" selected="0"/>
        </references>
      </pivotArea>
    </format>
    <format dxfId="472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13"/>
          </reference>
          <reference field="2" count="1" selected="0">
            <x v="0"/>
          </reference>
          <reference field="4" count="1">
            <x v="11"/>
          </reference>
          <reference field="6" count="0" selected="0"/>
          <reference field="7" count="0" selected="0"/>
        </references>
      </pivotArea>
    </format>
  </formats>
  <pivotHierarchies count="60">
    <pivotHierarchy dragToData="1"/>
    <pivotHierarchy dragToData="1"/>
    <pivotHierarchy multipleItemSelectionAllowed="1" dragToData="1">
      <members count="1" level="1">
        <member name="[ТаблВыгрузка].[Операция].&amp;[Разгрузка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Речное судно "/>
    <pivotHierarchy dragToData="1"/>
    <pivotHierarchy dragToData="1"/>
    <pivotHierarchy dragToData="1"/>
    <pivotHierarchy dragToData="1"/>
    <pivotHierarchy multipleItemSelectionAllowed="1" dragToData="1" caption="Вес по  B\L речника"/>
    <pivotHierarchy dragToData="1"/>
    <pivotHierarchy dragToData="1"/>
    <pivotHierarchy dragToData="1"/>
    <pivotHierarchy multipleItemSelectionAllowed="1" dragToData="1" caption="Дата  составления  B\L речника"/>
    <pivotHierarchy dragToData="1"/>
    <pivotHierarchy dragToData="1" caption="Отправитель. Речник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 caption="Отправитель.Моряк 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ТаблПогрузкаМоряк].[месяц].&amp;[мар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 Вес погр в Морское Судно "/>
    <pivotHierarchy dragToData="1"/>
    <pivotHierarchy dragToData="1"/>
  </pivotHierarchies>
  <pivotTableStyleInfo name="PivotStyleLight16" showRowHeaders="1" showColHeaders="1" showRowStripes="0" showColStripes="0" showLastColumn="1"/>
  <rowHierarchiesUsage count="7">
    <rowHierarchyUsage hierarchyUsage="43"/>
    <rowHierarchyUsage hierarchyUsage="45"/>
    <rowHierarchyUsage hierarchyUsage="13"/>
    <rowHierarchyUsage hierarchyUsage="14"/>
    <rowHierarchyUsage hierarchyUsage="24"/>
    <rowHierarchyUsage hierarchyUsage="22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ПогрузкаМоряк]"/>
        <x15:activeTabTopLevelEntity name="[ТаблПогруз]"/>
        <x15:activeTabTopLevelEntity name="[ТаблВыгрузка]"/>
      </x15:pivotTableUISettings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орское_Судно1" sourceName="[ТаблПогрузкаМоряк].[Морское Судно]">
  <pivotTables>
    <pivotTable tabId="10" name="Сводная таблица1"/>
  </pivotTables>
  <data>
    <olap pivotCacheId="197">
      <levels count="2">
        <level uniqueName="[ТаблПогрузкаМоряк].[Морское Судно].[(All)]" sourceCaption="(All)" count="0"/>
        <level uniqueName="[ТаблПогрузкаМоряк].[Морское Судно].[Морское Судно]" sourceCaption="Морское Судно" count="6">
          <ranges>
            <range startItem="0">
              <i n="[ТаблПогрузкаМоряк].[Морское Судно].&amp;[m/v Evrika ИМО 9154567]" c="m/v Evrika ИМО 9154567"/>
              <i n="[ТаблПогрузкаМоряк].[Морское Судно].&amp;[m/v Loris ИМО 8902436]" c="m/v Loris ИМО 8902436"/>
              <i n="[ТаблПогрузкаМоряк].[Морское Судно].&amp;[m/v Zaltron ИМО 9114139]" c="m/v Zaltron ИМО 9114139"/>
              <i n="[ТаблПогрузкаМоряк].[Морское Судно].&amp;[m/v April 9 ИМО 8319392]" c="m/v April 9 ИМО 8319392" nd="1"/>
              <i n="[ТаблПогрузкаМоряк].[Морское Судно].&amp;[m/v Ariella ИМО 9229001]" c="m/v Ariella ИМО 9229001" nd="1"/>
              <i n="[ТаблПогрузкаМоряк].[Морское Судно].&amp;[m/v Nour Star ИМО 9296315]" c="m/v Nour Star ИМО 9296315" nd="1"/>
            </range>
          </ranges>
        </level>
      </levels>
      <selections count="1">
        <selection n="[ТаблПогрузкаМоряк].[Морское Судно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Дата__составления__B\L_Морского_Судна1" sourceName="[ТаблПогрузкаМоряк].[Дата  составления  B\L Морского Судна]">
  <pivotTables>
    <pivotTable tabId="10" name="Сводная таблица1"/>
  </pivotTables>
  <data>
    <olap pivotCacheId="197">
      <levels count="2">
        <level uniqueName="[ТаблПогрузкаМоряк].[Дата  составления  B\L Морского Судна].[(All)]" sourceCaption="(All)" count="0"/>
        <level uniqueName="[ТаблПогрузкаМоряк].[Дата  составления  B\L Морского Судна].[Дата  составления  B\L Морского Судна]" sourceCaption="Дата  составления  B\L Морского Судна" count="6">
          <ranges>
            <range startItem="0">
              <i n="[ТаблПогрузкаМоряк].[Дата  составления  B\L Морского Судна].&amp;[2026-03-06T00:00:00]" c="06.03.2026"/>
              <i n="[ТаблПогрузкаМоряк].[Дата  составления  B\L Морского Судна].&amp;[2026-03-17T00:00:00]" c="17.03.2026"/>
              <i n="[ТаблПогрузкаМоряк].[Дата  составления  B\L Морского Судна].&amp;[2026-03-27T00:00:00]" c="27.03.2026"/>
              <i n="[ТаблПогрузкаМоряк].[Дата  составления  B\L Морского Судна].&amp;[2026-01-26T00:00:00]" c="26.01.2026" nd="1"/>
              <i n="[ТаблПогрузкаМоряк].[Дата  составления  B\L Морского Судна].&amp;[2026-02-06T00:00:00]" c="06.02.2026" nd="1"/>
              <i n="[ТаблПогрузкаМоряк].[Дата  составления  B\L Морского Судна].&amp;[2026-04-06T00:00:00]" c="06.04.2026" nd="1"/>
            </range>
          </ranges>
        </level>
      </levels>
      <selections count="1">
        <selection n="[ТаблПогрузкаМоряк].[Дата  составления  B\L Морского Судна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ТХ" sourceName="[ТаблПогруз].[ТХ]">
  <pivotTables>
    <pivotTable tabId="10" name="Сводная таблица1"/>
  </pivotTables>
  <data>
    <olap pivotCacheId="197">
      <levels count="2">
        <level uniqueName="[ТаблПогруз].[ТХ].[(All)]" sourceCaption="(All)" count="0"/>
        <level uniqueName="[ТаблПогруз].[ТХ].[ТХ]" sourceCaption="ТХ" count="24">
          <ranges>
            <range startItem="0">
              <i n="[ТаблПогруз].[ТХ].&amp;[Волго-Дон 5079 ИМО 8852784]" c="Волго-Дон 5079 ИМО 8852784"/>
              <i n="[ТаблПогруз].[ТХ].&amp;[т/х Астра Меридиан ИМО8721399]" c="т/х Астра Меридиан ИМО8721399"/>
              <i n="[ТаблПогруз].[ТХ].&amp;[т/х В.Успенский   ИМО 8946389]" c="т/х В.Успенский   ИМО 8946389"/>
              <i n="[ТаблПогруз].[ТХ].&amp;[т/х Волго-Дон 217 ИМО 8946377]" c="т/х Волго-Дон 217 ИМО 8946377"/>
              <i n="[ТаблПогруз].[ТХ].&amp;[т/х Волго-Дон 5011 ИМО8951310]" c="т/х Волго-Дон 5011 ИМО8951310"/>
              <i n="[ТаблПогруз].[ТХ].&amp;[т/х Волго-Дон 5043 ИМО8866321]" c="т/х Волго-Дон 5043 ИМО8866321"/>
              <i n="[ТаблПогруз].[ТХ].&amp;[т/х Дон 7111420]" c="т/х Дон 7111420"/>
              <i n="[ТаблПогруз].[ТХ].&amp;[т/х Дон Стар 2 ИМО 7911480]" c="т/х Дон Стар 2 ИМО 7911480"/>
              <i n="[ТаблПогруз].[ТХ].&amp;[т/х Дон Стар 4 ИМО 7911478]" c="т/х Дон Стар 4 ИМО 7911478"/>
              <i n="[ТаблПогруз].[ТХ].&amp;[т/х Дон Стар 5 ИМО 8955469]" c="т/х Дон Стар 5 ИМО 8955469"/>
              <i n="[ТаблПогруз].[ТХ].&amp;[т/х Дон Стар 6 ИМО 8951396]" c="т/х Дон Стар 6 ИМО 8951396"/>
              <i n="[ТаблПогруз].[ТХ].&amp;[т/х Дон Стар 7 ИМО 8844153]" c="т/х Дон Стар 7 ИМО 8844153"/>
              <i n="[ТаблПогруз].[ТХ].&amp;[т/х Святой Спиридон ИМО9087104]" c="т/х Святой Спиридон ИМО9087104"/>
              <i n="[ТаблПогруз].[ТХ].&amp;[ т/х Ugah Confidence]" c=" т/х Ugah Confidence" nd="1"/>
              <i n="[ТаблПогруз].[ТХ].&amp;[ т/х Волжский 33 ИМО 8955641]" c=" т/х Волжский 33 ИМО 8955641" nd="1"/>
              <i n="[ТаблПогруз].[ТХ].&amp;[ т/х Н.Мешков ИМО 8862507]" c=" т/х Н.Мешков ИМО 8862507" nd="1"/>
              <i n="[ТаблПогруз].[ТХ].&amp;[т/х Абрамцево ИМО8947955]" c="т/х Абрамцево ИМО8947955" nd="1"/>
              <i n="[ТаблПогруз].[ТХ].&amp;[т/х Волго-Дон219 ИМО8959207]" c="т/х Волго-Дон219 ИМО8959207" nd="1"/>
              <i n="[ТаблПогруз].[ТХ].&amp;[т/х Герой И.И.Петров//нб Балтис ИМО  2186884]" c="т/х Герой И.И.Петров//нб Балтис ИМО  2186884" nd="1"/>
              <i n="[ТаблПогруз].[ТХ].&amp;[т/х Дон Стар 1 ИМО 8866735]" c="т/х Дон Стар 1 ИМО 8866735" nd="1"/>
              <i n="[ТаблПогруз].[ТХ].&amp;[т/х Дон Стар 3 ИМО 7911507]" c="т/х Дон Стар 3 ИМО 7911507" nd="1"/>
              <i n="[ТаблПогруз].[ТХ].&amp;[т/х Дон Стар 8 ИМО 8884957]" c="т/х Дон Стар 8 ИМО 8884957" nd="1"/>
              <i n="[ТаблПогруз].[ТХ].&amp;[т/х Линда1 ИМО8951334]" c="т/х Линда1 ИМО8951334" nd="1"/>
              <i n="[ТаблПогруз].[ТХ].&amp;[т/х Соммерс ИМО7111420]" c="т/х Соммерс ИМО7111420" nd="1"/>
            </range>
          </ranges>
        </level>
      </levels>
      <selections count="1">
        <selection n="[ТаблПогруз].[ТХ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ТаблПогруз].[ТХ].[ТХ]" count="11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Вес_по__B\L" sourceName="[ТаблПогруз].[Вес по  B\L]">
  <pivotTables>
    <pivotTable tabId="10" name="Сводная таблица1"/>
  </pivotTables>
  <data>
    <olap pivotCacheId="197">
      <levels count="2">
        <level uniqueName="[ТаблПогруз].[Вес по  B\L].[(All)]" sourceCaption="(All)" count="0"/>
        <level uniqueName="[ТаблПогруз].[Вес по  B\L].[Вес по  B\L]" sourceCaption="Вес по  B\L" count="114">
          <ranges>
            <range startItem="0">
              <i n="[ТаблПогруз].[Вес по  B\L].&amp;[2.800063E3]" c="2800,063"/>
              <i n="[ТаблПогруз].[Вес по  B\L].&amp;[2.800162E3]" c="2800,162"/>
              <i n="[ТаблПогруз].[Вес по  B\L].&amp;[2.80213E3]" c="2802,13"/>
              <i n="[ТаблПогруз].[Вес по  B\L].&amp;[2.879781E3]" c="2879,781"/>
              <i n="[ТаблПогруз].[Вес по  B\L].&amp;[3.008046E3]" c="3008,046"/>
              <i n="[ТаблПогруз].[Вес по  B\L].&amp;[3.0808E3]" c="3080,8"/>
              <i n="[ТаблПогруз].[Вес по  B\L].&amp;[3.235349E3]" c="3235,349"/>
              <i n="[ТаблПогруз].[Вес по  B\L].&amp;[3.235898E3]" c="3235,898"/>
              <i n="[ТаблПогруз].[Вес по  B\L].&amp;[3.299525E3]" c="3299,525"/>
              <i n="[ТаблПогруз].[Вес по  B\L].&amp;[3.300139E3]" c="3300,139"/>
              <i n="[ТаблПогруз].[Вес по  B\L].&amp;[3.301946E3]" c="3301,946"/>
              <i n="[ТаблПогруз].[Вес по  B\L].&amp;[3.700716E3]" c="3700,716"/>
              <i n="[ТаблПогруз].[Вес по  B\L].&amp;[3.72546E3]" c="3725,46"/>
              <i n="[ТаблПогруз].[Вес по  B\L].&amp;[4.001598E3]" c="4001,598"/>
              <i n="[ТаблПогруз].[Вес по  B\L].&amp;[4.001757E3]" c="4001,757"/>
              <i n="[ТаблПогруз].[Вес по  B\L].&amp;[4.009127E3]" c="4009,127"/>
              <i n="[ТаблПогруз].[Вес по  B\L].&amp;[4.015427E3]" c="4015,427"/>
              <i n="[ТаблПогруз].[Вес по  B\L].&amp;[4.019038E3]" c="4019,038"/>
              <i n="[ТаблПогруз].[Вес по  B\L].&amp;[4.034285E3]" c="4034,285"/>
              <i n="[ТаблПогруз].[Вес по  B\L].&amp;[4.268103E3]" c="4268,103"/>
              <i n="[ТаблПогруз].[Вес по  B\L].&amp;[4.30056E3]" c="4300,56"/>
              <i n="[ТаблПогруз].[Вес по  B\L].&amp;[4.350052E3]" c="4350,052"/>
              <i n="[ТаблПогруз].[Вес по  B\L].&amp;[4.60024E3]" c="4600,24"/>
              <i n="[ТаблПогруз].[Вес по  B\L].&amp;[4.610754E3]" c="4610,754"/>
              <i n="[ТаблПогруз].[Вес по  B\L].&amp;[4.751217E3]" c="4751,217"/>
              <i n="[ТаблПогруз].[Вес по  B\L].&amp;[4.756963E3]" c="4756,963"/>
              <i n="[ТаблПогруз].[Вес по  B\L].&amp;" c="(пусто)" nd="1"/>
              <i n="[ТаблПогруз].[Вес по  B\L].&amp;[1.6285E2]" c="162,85" nd="1"/>
              <i n="[ТаблПогруз].[Вес по  B\L].&amp;[5.96239E2]" c="596,239" nd="1"/>
              <i n="[ТаблПогруз].[Вес по  B\L].&amp;[6.45538E2]" c="645,538" nd="1"/>
              <i n="[ТаблПогруз].[Вес по  B\L].&amp;[8.19621E2]" c="819,621" nd="1"/>
              <i n="[ТаблПогруз].[Вес по  B\L].&amp;[9.28772E2]" c="928,772" nd="1"/>
              <i n="[ТаблПогруз].[Вес по  B\L].&amp;[1.049139E3]" c="1049,139" nd="1"/>
              <i n="[ТаблПогруз].[Вес по  B\L].&amp;[1.144855E3]" c="1144,855" nd="1"/>
              <i n="[ТаблПогруз].[Вес по  B\L].&amp;[1.346396E3]" c="1346,396" nd="1"/>
              <i n="[ТаблПогруз].[Вес по  B\L].&amp;[1.457178E3]" c="1457,178" nd="1"/>
              <i n="[ТаблПогруз].[Вес по  B\L].&amp;[1.657629E3]" c="1657,629" nd="1"/>
              <i n="[ТаблПогруз].[Вес по  B\L].&amp;[1.97159E3]" c="1971,59" nd="1"/>
              <i n="[ТаблПогруз].[Вес по  B\L].&amp;[2.080394E3]" c="2080,394" nd="1"/>
              <i n="[ТаблПогруз].[Вес по  B\L].&amp;[2.322904E3]" c="2322,904" nd="1"/>
              <i n="[ТаблПогруз].[Вес по  B\L].&amp;[2.404934E3]" c="2404,934" nd="1"/>
              <i n="[ТаблПогруз].[Вес по  B\L].&amp;[2.45891E3]" c="2458,91" nd="1"/>
              <i n="[ТаблПогруз].[Вес по  B\L].&amp;[2.67578E3]" c="2675,78" nd="1"/>
              <i n="[ТаблПогруз].[Вес по  B\L].&amp;[2.788984E3]" c="2788,984" nd="1"/>
              <i n="[ТаблПогруз].[Вес по  B\L].&amp;[2.79982E3]" c="2799,82" nd="1"/>
              <i n="[ТаблПогруз].[Вес по  B\L].&amp;[2.80348E3]" c="2803,48" nd="1"/>
              <i n="[ТаблПогруз].[Вес по  B\L].&amp;[2.81244E3]" c="2812,44" nd="1"/>
              <i n="[ТаблПогруз].[Вес по  B\L].&amp;[2.901624E3]" c="2901,624" nd="1"/>
              <i n="[ТаблПогруз].[Вес по  B\L].&amp;[2.982101E3]" c="2982,101" nd="1"/>
              <i n="[ТаблПогруз].[Вес по  B\L].&amp;[3.000379E3]" c="3000,379" nd="1"/>
              <i n="[ТаблПогруз].[Вес по  B\L].&amp;[3.001336E3]" c="3001,336" nd="1"/>
              <i n="[ТаблПогруз].[Вес по  B\L].&amp;[3.028724E3]" c="3028,724" nd="1"/>
              <i n="[ТаблПогруз].[Вес по  B\L].&amp;[3.02904E3]" c="3029,04" nd="1"/>
              <i n="[ТаблПогруз].[Вес по  B\L].&amp;[3.04656E3]" c="3046,56" nd="1"/>
              <i n="[ТаблПогруз].[Вес по  B\L].&amp;[3.103185E3]" c="3103,185" nd="1"/>
              <i n="[ТаблПогруз].[Вес по  B\L].&amp;[3.112486E3]" c="3112,486" nd="1"/>
              <i n="[ТаблПогруз].[Вес по  B\L].&amp;[3.123099E3]" c="3123,099" nd="1"/>
              <i n="[ТаблПогруз].[Вес по  B\L].&amp;[3.1695E3]" c="3169,5" nd="1"/>
              <i n="[ТаблПогруз].[Вес по  B\L].&amp;[3.179679E3]" c="3179,679" nd="1"/>
              <i n="[ТаблПогруз].[Вес по  B\L].&amp;[3.197199E3]" c="3197,199" nd="1"/>
              <i n="[ТаблПогруз].[Вес по  B\L].&amp;[3.199052E3]" c="3199,052" nd="1"/>
              <i n="[ТаблПогруз].[Вес по  B\L].&amp;[3.202058E3]" c="3202,058" nd="1"/>
              <i n="[ТаблПогруз].[Вес по  B\L].&amp;[3.20754E3]" c="3207,54" nd="1"/>
              <i n="[ТаблПогруз].[Вес по  B\L].&amp;[3.209933E3]" c="3209,933" nd="1"/>
              <i n="[ТаблПогруз].[Вес по  B\L].&amp;[3.214206E3]" c="3214,206" nd="1"/>
              <i n="[ТаблПогруз].[Вес по  B\L].&amp;[3.221409E3]" c="3221,409" nd="1"/>
              <i n="[ТаблПогруз].[Вес по  B\L].&amp;[3.237906E3]" c="3237,906" nd="1"/>
              <i n="[ТаблПогруз].[Вес по  B\L].&amp;[3.241208E3]" c="3241,208" nd="1"/>
              <i n="[ТаблПогруз].[Вес по  B\L].&amp;[3.24878E3]" c="3248,78" nd="1"/>
              <i n="[ТаблПогруз].[Вес по  B\L].&amp;[3.249964E3]" c="3249,964" nd="1"/>
              <i n="[ТаблПогруз].[Вес по  B\L].&amp;[3.251256E3]" c="3251,256" nd="1"/>
              <i n="[ТаблПогруз].[Вес по  B\L].&amp;[3.256345E3]" c="3256,345" nd="1"/>
              <i n="[ТаблПогруз].[Вес по  B\L].&amp;[3.259541E3]" c="3259,541" nd="1"/>
              <i n="[ТаблПогруз].[Вес по  B\L].&amp;[3.269043E3]" c="3269,043" nd="1"/>
              <i n="[ТаблПогруз].[Вес по  B\L].&amp;[3.299959E3]" c="3299,959" nd="1"/>
              <i n="[ТаблПогруз].[Вес по  B\L].&amp;[3.30007E3]" c="3300,07" nd="1"/>
              <i n="[ТаблПогруз].[Вес по  B\L].&amp;[3.30029E3]" c="3300,29" nd="1"/>
              <i n="[ТаблПогруз].[Вес по  B\L].&amp;[3.30042E3]" c="3300,42" nd="1"/>
              <i n="[ТаблПогруз].[Вес по  B\L].&amp;[3.300542E3]" c="3300,542" nd="1"/>
              <i n="[ТаблПогруз].[Вес по  B\L].&amp;[3.300549E3]" c="3300,549" nd="1"/>
              <i n="[ТаблПогруз].[Вес по  B\L].&amp;[3.3051E3]" c="3305,1" nd="1"/>
              <i n="[ТаблПогруз].[Вес по  B\L].&amp;[3.309655E3]" c="3309,655" nd="1"/>
              <i n="[ТаблПогруз].[Вес по  B\L].&amp;[3.6681E3]" c="3668,1" nd="1"/>
              <i n="[ТаблПогруз].[Вес по  B\L].&amp;[3.75769E3]" c="3757,69" nd="1"/>
              <i n="[ТаблПогруз].[Вес по  B\L].&amp;[3.761523E3]" c="3761,523" nd="1"/>
              <i n="[ТаблПогруз].[Вес по  B\L].&amp;[3.9E3]" c="3900" nd="1"/>
              <i n="[ТаблПогруз].[Вес по  B\L].&amp;[3.99237E3]" c="3992,37" nd="1"/>
              <i n="[ТаблПогруз].[Вес по  B\L].&amp;[4.00366E3]" c="4003,66" nd="1"/>
              <i n="[ТаблПогруз].[Вес по  B\L].&amp;[4.010001E3]" c="4010,001" nd="1"/>
              <i n="[ТаблПогруз].[Вес по  B\L].&amp;[4.011344E3]" c="4011,344" nd="1"/>
              <i n="[ТаблПогруз].[Вес по  B\L].&amp;[4.011556E3]" c="4011,556" nd="1"/>
              <i n="[ТаблПогруз].[Вес по  B\L].&amp;[4.012398E3]" c="4012,398" nd="1"/>
              <i n="[ТаблПогруз].[Вес по  B\L].&amp;[4.012546E3]" c="4012,546" nd="1"/>
              <i n="[ТаблПогруз].[Вес по  B\L].&amp;[4.025298E3]" c="4025,298" nd="1"/>
              <i n="[ТаблПогруз].[Вес по  B\L].&amp;[4.03403E3]" c="4034,03" nd="1"/>
              <i n="[ТаблПогруз].[Вес по  B\L].&amp;[4.053075E3]" c="4053,075" nd="1"/>
              <i n="[ТаблПогруз].[Вес по  B\L].&amp;[4.055246E3]" c="4055,246" nd="1"/>
              <i n="[ТаблПогруз].[Вес по  B\L].&amp;[4.159927E3]" c="4159,927" nd="1"/>
              <i n="[ТаблПогруз].[Вес по  B\L].&amp;[4.196622E3]" c="4196,622" nd="1"/>
              <i n="[ТаблПогруз].[Вес по  B\L].&amp;[4.68014E3]" c="4680,14" nd="1"/>
              <i n="[ТаблПогруз].[Вес по  B\L].&amp;[4.75028E3]" c="4750,28" nd="1"/>
              <i n="[ТаблПогруз].[Вес по  B\L].&amp;[4.75608E3]" c="4756,08" nd="1"/>
              <i n="[ТаблПогруз].[Вес по  B\L].&amp;[4.756879E3]" c="4756,879" nd="1"/>
              <i n="[ТаблПогруз].[Вес по  B\L].&amp;[4.775846E3]" c="4775,846" nd="1"/>
              <i n="[ТаблПогруз].[Вес по  B\L].&amp;[4.779216E3]" c="4779,216" nd="1"/>
              <i n="[ТаблПогруз].[Вес по  B\L].&amp;[4.7795E3]" c="4779,5" nd="1"/>
              <i n="[ТаблПогруз].[Вес по  B\L].&amp;[4.780745E3]" c="4780,745" nd="1"/>
              <i n="[ТаблПогруз].[Вес по  B\L].&amp;[4.781258E3]" c="4781,258" nd="1"/>
              <i n="[ТаблПогруз].[Вес по  B\L].&amp;[4.8E3]" c="4800" nd="1"/>
              <i n="[ТаблПогруз].[Вес по  B\L].&amp;[4.812326E3]" c="4812,326" nd="1"/>
              <i n="[ТаблПогруз].[Вес по  B\L].&amp;[4.817806E3]" c="4817,806" nd="1"/>
              <i n="[ТаблПогруз].[Вес по  B\L].&amp;[5.0078E3]" c="5007,8" nd="1"/>
              <i n="[ТаблПогруз].[Вес по  B\L].&amp;[5.01962E3]" c="5019,62" nd="1"/>
              <i n="[ТаблПогруз].[Вес по  B\L].&amp;[5.267E3]" c="5267" nd="1"/>
            </range>
          </ranges>
        </level>
      </levels>
      <selections count="1">
        <selection n="[ТаблПогруз].[Вес по  B\L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Дата__составления__B\L" sourceName="[ТаблПогруз].[Дата  составления  B\L]">
  <pivotTables>
    <pivotTable tabId="10" name="Сводная таблица1"/>
  </pivotTables>
  <data>
    <olap pivotCacheId="197">
      <levels count="2">
        <level uniqueName="[ТаблПогруз].[Дата  составления  B\L].[(All)]" sourceCaption="(All)" count="0"/>
        <level uniqueName="[ТаблПогруз].[Дата  составления  B\L].[Дата  составления  B\L]" sourceCaption="Дата  составления  B\L" count="91">
          <ranges>
            <range startItem="0">
              <i n="[ТаблПогруз].[Дата  составления  B\L].&amp;[2026-01-16T00:00:00]" c="16.01.2026"/>
              <i n="[ТаблПогруз].[Дата  составления  B\L].&amp;[2026-01-27T00:00:00]" c="27.01.2026"/>
              <i n="[ТаблПогруз].[Дата  составления  B\L].&amp;[2026-02-01T00:00:00]" c="01.02.2026"/>
              <i n="[ТаблПогруз].[Дата  составления  B\L].&amp;[2026-02-14T00:00:00]" c="14.02.2026"/>
              <i n="[ТаблПогруз].[Дата  составления  B\L].&amp;[2026-02-16T00:00:00]" c="16.02.2026"/>
              <i n="[ТаблПогруз].[Дата  составления  B\L].&amp;[2026-02-24T00:00:00]" c="24.02.2026"/>
              <i n="[ТаблПогруз].[Дата  составления  B\L].&amp;[2026-02-27T00:00:00]" c="27.02.2026"/>
              <i n="[ТаблПогруз].[Дата  составления  B\L].&amp;[2026-02-28T00:00:00]" c="28.02.2026"/>
              <i n="[ТаблПогруз].[Дата  составления  B\L].&amp;[2026-03-01T00:00:00]" c="01.03.2026"/>
              <i n="[ТаблПогруз].[Дата  составления  B\L].&amp;[2026-03-02T00:00:00]" c="02.03.2026"/>
              <i n="[ТаблПогруз].[Дата  составления  B\L].&amp;[2026-03-05T00:00:00]" c="05.03.2026"/>
              <i n="[ТаблПогруз].[Дата  составления  B\L].&amp;[2026-03-07T00:00:00]" c="07.03.2026"/>
              <i n="[ТаблПогруз].[Дата  составления  B\L].&amp;[2026-03-08T00:00:00]" c="08.03.2026"/>
              <i n="[ТаблПогруз].[Дата  составления  B\L].&amp;[2026-03-09T00:00:00]" c="09.03.2026"/>
              <i n="[ТаблПогруз].[Дата  составления  B\L].&amp;[2026-03-10T00:00:00]" c="10.03.2026"/>
              <i n="[ТаблПогруз].[Дата  составления  B\L].&amp;[2026-03-11T00:00:00]" c="11.03.2026"/>
              <i n="[ТаблПогруз].[Дата  составления  B\L].&amp;[2026-03-12T00:00:00]" c="12.03.2026"/>
              <i n="[ТаблПогруз].[Дата  составления  B\L].&amp;[2026-03-15T00:00:00]" c="15.03.2026"/>
              <i n="[ТаблПогруз].[Дата  составления  B\L].&amp;[2026-03-17T00:00:00]" c="17.03.2026"/>
              <i n="[ТаблПогруз].[Дата  составления  B\L].&amp;[2026-03-18T00:00:00]" c="18.03.2026"/>
              <i n="[ТаблПогруз].[Дата  составления  B\L].&amp;" c="(пусто)" nd="1"/>
              <i n="[ТаблПогруз].[Дата  составления  B\L].&amp;[2025-10-16T00:00:00]" c="16.10.2025" nd="1"/>
              <i n="[ТаблПогруз].[Дата  составления  B\L].&amp;[2025-10-18T00:00:00]" c="18.10.2025" nd="1"/>
              <i n="[ТаблПогруз].[Дата  составления  B\L].&amp;[2025-10-20T00:00:00]" c="20.10.2025" nd="1"/>
              <i n="[ТаблПогруз].[Дата  составления  B\L].&amp;[2025-10-21T00:00:00]" c="21.10.2025" nd="1"/>
              <i n="[ТаблПогруз].[Дата  составления  B\L].&amp;[2025-10-22T00:00:00]" c="22.10.2025" nd="1"/>
              <i n="[ТаблПогруз].[Дата  составления  B\L].&amp;[2025-10-23T00:00:00]" c="23.10.2025" nd="1"/>
              <i n="[ТаблПогруз].[Дата  составления  B\L].&amp;[2025-10-24T00:00:00]" c="24.10.2025" nd="1"/>
              <i n="[ТаблПогруз].[Дата  составления  B\L].&amp;[2025-10-26T00:00:00]" c="26.10.2025" nd="1"/>
              <i n="[ТаблПогруз].[Дата  составления  B\L].&amp;[2025-10-27T00:00:00]" c="27.10.2025" nd="1"/>
              <i n="[ТаблПогруз].[Дата  составления  B\L].&amp;[2025-10-30T00:00:00]" c="30.10.2025" nd="1"/>
              <i n="[ТаблПогруз].[Дата  составления  B\L].&amp;[2025-10-31T00:00:00]" c="31.10.2025" nd="1"/>
              <i n="[ТаблПогруз].[Дата  составления  B\L].&amp;[2025-11-01T00:00:00]" c="01.11.2025" nd="1"/>
              <i n="[ТаблПогруз].[Дата  составления  B\L].&amp;[2025-11-02T00:00:00]" c="02.11.2025" nd="1"/>
              <i n="[ТаблПогруз].[Дата  составления  B\L].&amp;[2025-11-03T00:00:00]" c="03.11.2025" nd="1"/>
              <i n="[ТаблПогруз].[Дата  составления  B\L].&amp;[2025-11-05T00:00:00]" c="05.11.2025" nd="1"/>
              <i n="[ТаблПогруз].[Дата  составления  B\L].&amp;[2025-11-06T00:00:00]" c="06.11.2025" nd="1"/>
              <i n="[ТаблПогруз].[Дата  составления  B\L].&amp;[2025-11-07T00:00:00]" c="07.11.2025" nd="1"/>
              <i n="[ТаблПогруз].[Дата  составления  B\L].&amp;[2025-11-08T00:00:00]" c="08.11.2025" nd="1"/>
              <i n="[ТаблПогруз].[Дата  составления  B\L].&amp;[2025-11-09T00:00:00]" c="09.11.2025" nd="1"/>
              <i n="[ТаблПогруз].[Дата  составления  B\L].&amp;[2025-11-10T00:00:00]" c="10.11.2025" nd="1"/>
              <i n="[ТаблПогруз].[Дата  составления  B\L].&amp;[2025-11-13T00:00:00]" c="13.11.2025" nd="1"/>
              <i n="[ТаблПогруз].[Дата  составления  B\L].&amp;[2025-11-15T00:00:00]" c="15.11.2025" nd="1"/>
              <i n="[ТаблПогруз].[Дата  составления  B\L].&amp;[2025-11-18T00:00:00]" c="18.11.2025" nd="1"/>
              <i n="[ТаблПогруз].[Дата  составления  B\L].&amp;[2025-11-20T00:00:00]" c="20.11.2025" nd="1"/>
              <i n="[ТаблПогруз].[Дата  составления  B\L].&amp;[2025-11-21T00:00:00]" c="21.11.2025" nd="1"/>
              <i n="[ТаблПогруз].[Дата  составления  B\L].&amp;[2025-11-22T00:00:00]" c="22.11.2025" nd="1"/>
              <i n="[ТаблПогруз].[Дата  составления  B\L].&amp;[2025-11-25T00:00:00]" c="25.11.2025" nd="1"/>
              <i n="[ТаблПогруз].[Дата  составления  B\L].&amp;[2025-11-26T00:00:00]" c="26.11.2025" nd="1"/>
              <i n="[ТаблПогруз].[Дата  составления  B\L].&amp;[2025-11-27T00:00:00]" c="27.11.2025" nd="1"/>
              <i n="[ТаблПогруз].[Дата  составления  B\L].&amp;[2025-11-28T00:00:00]" c="28.11.2025" nd="1"/>
              <i n="[ТаблПогруз].[Дата  составления  B\L].&amp;[2025-12-01T00:00:00]" c="01.12.2025" nd="1"/>
              <i n="[ТаблПогруз].[Дата  составления  B\L].&amp;[2025-12-02T00:00:00]" c="02.12.2025" nd="1"/>
              <i n="[ТаблПогруз].[Дата  составления  B\L].&amp;[2025-12-03T00:00:00]" c="03.12.2025" nd="1"/>
              <i n="[ТаблПогруз].[Дата  составления  B\L].&amp;[2025-12-04T00:00:00]" c="04.12.2025" nd="1"/>
              <i n="[ТаблПогруз].[Дата  составления  B\L].&amp;[2025-12-05T00:00:00]" c="05.12.2025" nd="1"/>
              <i n="[ТаблПогруз].[Дата  составления  B\L].&amp;[2025-12-06T00:00:00]" c="06.12.2025" nd="1"/>
              <i n="[ТаблПогруз].[Дата  составления  B\L].&amp;[2025-12-08T00:00:00]" c="08.12.2025" nd="1"/>
              <i n="[ТаблПогруз].[Дата  составления  B\L].&amp;[2025-12-12T00:00:00]" c="12.12.2025" nd="1"/>
              <i n="[ТаблПогруз].[Дата  составления  B\L].&amp;[2025-12-16T00:00:00]" c="16.12.2025" nd="1"/>
              <i n="[ТаблПогруз].[Дата  составления  B\L].&amp;[2025-12-18T00:00:00]" c="18.12.2025" nd="1"/>
              <i n="[ТаблПогруз].[Дата  составления  B\L].&amp;[2025-12-20T00:00:00]" c="20.12.2025" nd="1"/>
              <i n="[ТаблПогруз].[Дата  составления  B\L].&amp;[2025-12-22T00:00:00]" c="22.12.2025" nd="1"/>
              <i n="[ТаблПогруз].[Дата  составления  B\L].&amp;[2025-12-26T00:00:00]" c="26.12.2025" nd="1"/>
              <i n="[ТаблПогруз].[Дата  составления  B\L].&amp;[2025-12-27T00:00:00]" c="27.12.2025" nd="1"/>
              <i n="[ТаблПогруз].[Дата  составления  B\L].&amp;[2025-12-28T00:00:00]" c="28.12.2025" nd="1"/>
              <i n="[ТаблПогруз].[Дата  составления  B\L].&amp;[2025-12-29T00:00:00]" c="29.12.2025" nd="1"/>
              <i n="[ТаблПогруз].[Дата  составления  B\L].&amp;[2025-12-30T00:00:00]" c="30.12.2025" nd="1"/>
              <i n="[ТаблПогруз].[Дата  составления  B\L].&amp;[2025-12-31T00:00:00]" c="31.12.2025" nd="1"/>
              <i n="[ТаблПогруз].[Дата  составления  B\L].&amp;[2026-01-03T00:00:00]" c="03.01.2026" nd="1"/>
              <i n="[ТаблПогруз].[Дата  составления  B\L].&amp;[2026-01-08T00:00:00]" c="08.01.2026" nd="1"/>
              <i n="[ТаблПогруз].[Дата  составления  B\L].&amp;[2026-01-12T00:00:00]" c="12.01.2026" nd="1"/>
              <i n="[ТаблПогруз].[Дата  составления  B\L].&amp;[2026-01-13T00:00:00]" c="13.01.2026" nd="1"/>
              <i n="[ТаблПогруз].[Дата  составления  B\L].&amp;[2026-01-17T00:00:00]" c="17.01.2026" nd="1"/>
              <i n="[ТаблПогруз].[Дата  составления  B\L].&amp;[2026-02-03T00:00:00]" c="03.02.2026" nd="1"/>
              <i n="[ТаблПогруз].[Дата  составления  B\L].&amp;[2026-02-12T00:00:00]" c="12.02.2026" nd="1"/>
              <i n="[ТаблПогруз].[Дата  составления  B\L].&amp;[2026-02-15T00:00:00]" c="15.02.2026" nd="1"/>
              <i n="[ТаблПогруз].[Дата  составления  B\L].&amp;[2026-03-19T00:00:00]" c="19.03.2026" nd="1"/>
              <i n="[ТаблПогруз].[Дата  составления  B\L].&amp;[2026-03-20T00:00:00]" c="20.03.2026" nd="1"/>
              <i n="[ТаблПогруз].[Дата  составления  B\L].&amp;[2026-03-21T00:00:00]" c="21.03.2026" nd="1"/>
              <i n="[ТаблПогруз].[Дата  составления  B\L].&amp;[2026-03-22T00:00:00]" c="22.03.2026" nd="1"/>
              <i n="[ТаблПогруз].[Дата  составления  B\L].&amp;[2026-03-23T00:00:00]" c="23.03.2026" nd="1"/>
              <i n="[ТаблПогруз].[Дата  составления  B\L].&amp;[2026-03-25T00:00:00]" c="25.03.2026" nd="1"/>
              <i n="[ТаблПогруз].[Дата  составления  B\L].&amp;[2026-03-27T00:00:00]" c="27.03.2026" nd="1"/>
              <i n="[ТаблПогруз].[Дата  составления  B\L].&amp;[2026-03-28T00:00:00]" c="28.03.2026" nd="1"/>
              <i n="[ТаблПогруз].[Дата  составления  B\L].&amp;[2026-03-29T00:00:00]" c="29.03.2026" nd="1"/>
              <i n="[ТаблПогруз].[Дата  составления  B\L].&amp;[2026-04-01T00:00:00]" c="01.04.2026" nd="1"/>
              <i n="[ТаблПогруз].[Дата  составления  B\L].&amp;[2026-04-02T00:00:00]" c="02.04.2026" nd="1"/>
              <i n="[ТаблПогруз].[Дата  составления  B\L].&amp;[2026-04-05T00:00:00]" c="05.04.2026" nd="1"/>
              <i n="[ТаблПогруз].[Дата  составления  B\L].&amp;[2026-04-06T00:00:00]" c="06.04.2026" nd="1"/>
              <i n="[ТаблПогруз].[Дата  составления  B\L].&amp;[2026-04-07T00:00:00]" c="07.04.2026" nd="1"/>
            </range>
          </ranges>
        </level>
      </levels>
      <selections count="1">
        <selection n="[ТаблПогруз].[Дата  составления  B\L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есяц2" sourceName="[ТаблПогрузкаМоряк].[месяц]">
  <pivotTables>
    <pivotTable tabId="10" name="Сводная таблица1"/>
  </pivotTables>
  <data>
    <olap pivotCacheId="197">
      <levels count="2">
        <level uniqueName="[ТаблПогрузкаМоряк].[месяц].[(All)]" sourceCaption="(All)" count="0"/>
        <level uniqueName="[ТаблПогрузкаМоряк].[месяц].[месяц]" sourceCaption="месяц" count="4">
          <ranges>
            <range startItem="0">
              <i n="[ТаблПогрузкаМоряк].[месяц].&amp;[апр]" c="апр"/>
              <i n="[ТаблПогрузкаМоряк].[месяц].&amp;[мар]" c="мар"/>
              <i n="[ТаблПогрузкаМоряк].[месяц].&amp;[фев]" c="фев"/>
              <i n="[ТаблПогрузкаМоряк].[месяц].&amp;[янв]" c="янв"/>
            </range>
          </ranges>
        </level>
      </levels>
      <selections count="1">
        <selection n="[ТаблПогрузкаМоряк].[месяц].&amp;[мар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оизв.Неделя" sourceName="[ТаблПогрузкаМоряк].[Произв.Неделя]">
  <pivotTables>
    <pivotTable tabId="10" name="Сводная таблица1"/>
  </pivotTables>
  <data>
    <olap pivotCacheId="197">
      <levels count="2">
        <level uniqueName="[ТаблПогрузкаМоряк].[Произв.Неделя].[(All)]" sourceCaption="(All)" count="0"/>
        <level uniqueName="[ТаблПогрузкаМоряк].[Произв.Неделя].[Произв.Неделя]" sourceCaption="Произв.Неделя" count="6">
          <ranges>
            <range startItem="0">
              <i n="[ТаблПогрузкаМоряк].[Произв.Неделя].&amp;[10]" c="10"/>
              <i n="[ТаблПогрузкаМоряк].[Произв.Неделя].&amp;[12]" c="12"/>
              <i n="[ТаблПогрузкаМоряк].[Произв.Неделя].&amp;[13]" c="13"/>
              <i n="[ТаблПогрузкаМоряк].[Произв.Неделя].&amp;[5]" c="5" nd="1"/>
              <i n="[ТаблПогрузкаМоряк].[Произв.Неделя].&amp;[6]" c="6" nd="1"/>
              <i n="[ТаблПогрузкаМоряк].[Произв.Неделя].&amp;[15]" c="15" nd="1"/>
            </range>
          </ranges>
        </level>
      </levels>
      <selections count="1">
        <selection n="[ТаблПогрузкаМоряк].[Произв.Неделя].[All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Накопитель1" sourceName="[ТаблПогрузкаМоряк].[Накопитель]">
  <pivotTables>
    <pivotTable tabId="10" name="Сводная таблица1"/>
  </pivotTables>
  <data>
    <olap pivotCacheId="197">
      <levels count="2">
        <level uniqueName="[ТаблПогрузкаМоряк].[Накопитель].[(All)]" sourceCaption="(All)" count="0"/>
        <level uniqueName="[ТаблПогрузкаМоряк].[Накопитель].[Накопитель]" sourceCaption="Накопитель" count="3">
          <ranges>
            <range startItem="0">
              <i n="[ТаблПогрузкаМоряк].[Накопитель].&amp;" c="(пусто)"/>
              <i n="[ТаблПогрузкаМоряк].[Накопитель].&amp;[m/v Babylon ИМО 8902474]" c="m/v Babylon ИМО 8902474"/>
              <i n="[ТаблПогрузкаМоряк].[Накопитель].&amp;[m/v Loris ИМО 8902436]" c="m/v Loris ИМО 8902436" nd="1"/>
            </range>
          </ranges>
        </level>
      </levels>
      <selections count="1">
        <selection n="[ТаблПогрузкаМоряк].[Накопитель].[All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Операция" sourceName="[ТаблПогрузкаМоряк].[Операция]">
  <pivotTables>
    <pivotTable tabId="10" name="Сводная таблица1"/>
  </pivotTables>
  <data>
    <olap pivotCacheId="197">
      <levels count="2">
        <level uniqueName="[ТаблПогрузкаМоряк].[Операция].[(All)]" sourceCaption="(All)" count="0"/>
        <level uniqueName="[ТаблПогрузкаМоряк].[Операция].[Операция]" sourceCaption="Операция" count="2">
          <ranges>
            <range startItem="0">
              <i n="[ТаблПогрузкаМоряк].[Операция].&amp;[Перевалка через накопитель]" c="Перевалка через накопитель"/>
              <i n="[ТаблПогрузкаМоряк].[Операция].&amp;[Прямая перевалка]" c="Прямая перевалка"/>
            </range>
          </ranges>
        </level>
      </levels>
      <selections count="1">
        <selection n="[ТаблПогрузкаМоряк].[Операция].[All]"/>
      </selections>
    </olap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орское_Судно" sourceName="Морское Судно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Дата__составления__B\L_Морского_Судна" sourceName="Дата  составления  B\L Морского Судна">
  <extLst>
    <x:ext xmlns:x15="http://schemas.microsoft.com/office/spreadsheetml/2010/11/main" uri="{2F2917AC-EB37-4324-AD4E-5DD8C200BD13}">
      <x15:tableSlicerCache tableId="2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Морское Судно" cache="Срез_Морское_Судно" caption="Морское Судно" rowHeight="241300"/>
  <slicer name="Дата  составления  B\L Морского Судна" cache="Срез_Дата__составления__B\L_Морского_Судна" caption="Дата  составления  B\L Морского Судна" columnCount="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Морское Судно 1" cache="Срез_Морское_Судно1" caption="Морское Судно" level="1" rowHeight="241300"/>
  <slicer name="Дата B\L Моряка " cache="Срез_Дата__составления__B\L_Морского_Судна1" caption="Дата B\L Моряка" level="1" rowHeight="241300"/>
  <slicer name="Речное судно " cache="Срез_ТХ" caption="Речное судно " level="1" rowHeight="241300"/>
  <slicer name="Вес по  B\L речника" cache="Срез_Вес_по__B\L" caption="Вес по  B\L речника" startItem="9" level="1" rowHeight="241300"/>
  <slicer name="Дата  составления  B\L речника" cache="Срез_Дата__составления__B\L" caption="Дата  составления  B\L речника" level="1" rowHeight="241300"/>
  <slicer name="месяц 2" cache="Срез_месяц2" caption="месяц" columnCount="3" level="1" rowHeight="241300"/>
  <slicer name="Произв.Неделя" cache="Срез_Произв.Неделя" caption="Произв.Неделя" columnCount="3" level="1" rowHeight="241300"/>
  <slicer name="Накопитель" cache="Срез_Накопитель1" caption="Накопитель" columnCount="3" level="1" rowHeight="241300"/>
  <slicer name="Операция" cache="Срез_Операция" caption="Операция" level="1" rowHeight="234950"/>
</slicers>
</file>

<file path=xl/tables/table1.xml><?xml version="1.0" encoding="utf-8"?>
<table xmlns="http://schemas.openxmlformats.org/spreadsheetml/2006/main" id="5" name="Таблица16" displayName="Таблица16" ref="A7:L60" totalsRowShown="0" headerRowDxfId="624" headerRowBorderDxfId="623" tableBorderDxfId="622" totalsRowBorderDxfId="621">
  <autoFilter ref="A7:L60"/>
  <tableColumns count="12">
    <tableColumn id="1" name="ТХ " dataDxfId="620"/>
    <tableColumn id="18" name="Статус" dataDxfId="619"/>
    <tableColumn id="8" name="Операция" dataDxfId="618"/>
    <tableColumn id="12" name="Вес по  B\L" dataDxfId="617"/>
    <tableColumn id="7" name="Вес  выгруженный в накопитель " dataDxfId="616"/>
    <tableColumn id="14" name="NOR Разгрузка" dataDxfId="615"/>
    <tableColumn id="9" name="Дата  начала  грузовых операций  " dataDxfId="614"/>
    <tableColumn id="10" name="Дата  окончания грузовых операций  " dataDxfId="613"/>
    <tableColumn id="11" name="Дата  составления  B\L речник" dataDxfId="612"/>
    <tableColumn id="2" name="Накопитель " dataDxfId="611"/>
    <tableColumn id="4" name="Id key" dataDxfId="610">
      <calculatedColumnFormula>CONCATENATE(Таблица16[[#This Row],[ТХ ]],"/",Таблица16[[#This Row],[Дата  составления  B\L речник]])</calculatedColumnFormula>
    </tableColumn>
    <tableColumn id="6" name="Дата направления уведомления " dataDxfId="6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163" displayName="Таблица163" ref="A7:O63" totalsRowShown="0" headerRowDxfId="608" headerRowBorderDxfId="607" tableBorderDxfId="606" totalsRowBorderDxfId="605">
  <autoFilter ref="A7:O63"/>
  <tableColumns count="15">
    <tableColumn id="1" name="ТХ " dataDxfId="604"/>
    <tableColumn id="18" name="Статус" dataDxfId="603"/>
    <tableColumn id="8" name="Операция" dataDxfId="602"/>
    <tableColumn id="7" name="Вес  погруженный" dataDxfId="601"/>
    <tableColumn id="2" name="Накопитель " dataDxfId="600"/>
    <tableColumn id="9" name="Дата  начала  грузовых операций  " dataDxfId="599"/>
    <tableColumn id="10" name="Дата  окончания грузовых операций  " dataDxfId="598"/>
    <tableColumn id="3" name="Морское Судно" dataDxfId="597"/>
    <tableColumn id="5" name="Дата  составления  B\L Морского Судна" dataDxfId="596"/>
    <tableColumn id="21" name="Отправитель   " dataDxfId="595"/>
    <tableColumn id="4" name="Id key" dataDxfId="594">
      <calculatedColumnFormula>CONCATENATE(Таблица163[[#This Row],[ТХ ]],"/",Таблица163[[#This Row],[Дата  составления  B\L Морского Судна]])</calculatedColumnFormula>
    </tableColumn>
    <tableColumn id="6" name="Дата направления уведомления " dataDxfId="593"/>
    <tableColumn id="11" name="Произв.Неделя" dataDxfId="592">
      <calculatedColumnFormula>_xlfn.ISOWEEKNUM(Таблица163[[#This Row],[Дата  составления  B\L Морского Судна]])</calculatedColumnFormula>
    </tableColumn>
    <tableColumn id="12" name="месяц" dataDxfId="591">
      <calculatedColumnFormula>TEXT(Таблица163[[#This Row],[Дата  составления  B\L Морского Судна]],"МММ")</calculatedColumnFormula>
    </tableColumn>
    <tableColumn id="13" name="год" dataDxfId="590">
      <calculatedColumnFormula>YEAR(Таблица163[[#This Row],[Дата  составления  B\L Морского Судна]])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Z64"/>
  <sheetViews>
    <sheetView zoomScaleNormal="100" workbookViewId="0">
      <pane xSplit="1" ySplit="7" topLeftCell="B62" activePane="bottomRight" state="frozen"/>
      <selection pane="topRight" activeCell="B1" sqref="B1"/>
      <selection pane="bottomLeft" activeCell="A7" sqref="A7"/>
      <selection pane="bottomRight" activeCell="I65" sqref="I65"/>
    </sheetView>
  </sheetViews>
  <sheetFormatPr defaultRowHeight="15" x14ac:dyDescent="0.25"/>
  <cols>
    <col min="1" max="1" width="32.42578125" customWidth="1"/>
    <col min="2" max="2" width="21.42578125" customWidth="1"/>
    <col min="3" max="3" width="33.85546875" customWidth="1"/>
    <col min="4" max="4" width="18.42578125" style="10" customWidth="1"/>
    <col min="5" max="5" width="22.5703125" customWidth="1"/>
    <col min="6" max="6" width="19.140625" hidden="1" customWidth="1"/>
    <col min="7" max="7" width="17.28515625" hidden="1" customWidth="1"/>
    <col min="8" max="8" width="15" hidden="1" customWidth="1"/>
    <col min="9" max="10" width="26.42578125" style="10" customWidth="1"/>
    <col min="11" max="11" width="40.140625" customWidth="1"/>
    <col min="12" max="12" width="19.42578125" customWidth="1"/>
    <col min="13" max="13" width="13.7109375" customWidth="1"/>
    <col min="15" max="15" width="17.7109375" style="15" bestFit="1" customWidth="1"/>
    <col min="16" max="16" width="24" style="15" customWidth="1"/>
    <col min="17" max="17" width="17.42578125" style="15" customWidth="1"/>
    <col min="19" max="21" width="17" style="10" customWidth="1"/>
    <col min="22" max="22" width="19.28515625" style="10" customWidth="1"/>
    <col min="23" max="23" width="19.5703125" style="10" customWidth="1"/>
    <col min="24" max="24" width="39" customWidth="1"/>
    <col min="25" max="25" width="22.28515625" customWidth="1"/>
    <col min="26" max="26" width="21.42578125" style="20" customWidth="1"/>
    <col min="27" max="27" width="21.140625" customWidth="1"/>
  </cols>
  <sheetData>
    <row r="1" spans="1:26" x14ac:dyDescent="0.25">
      <c r="B1" s="21"/>
      <c r="C1" s="21"/>
      <c r="E1" s="10"/>
      <c r="F1" s="15"/>
      <c r="G1" s="15"/>
      <c r="H1" s="15"/>
      <c r="I1" s="1"/>
      <c r="J1" s="1"/>
      <c r="O1"/>
      <c r="P1"/>
      <c r="Q1"/>
      <c r="S1"/>
      <c r="T1"/>
      <c r="U1"/>
      <c r="V1"/>
      <c r="W1"/>
      <c r="Z1"/>
    </row>
    <row r="2" spans="1:26" x14ac:dyDescent="0.25">
      <c r="B2" s="21"/>
      <c r="C2" s="21"/>
      <c r="E2" s="10"/>
      <c r="F2" s="15"/>
      <c r="G2" s="15"/>
      <c r="H2" s="15"/>
      <c r="I2" s="1"/>
      <c r="J2" s="1"/>
      <c r="O2"/>
      <c r="P2"/>
      <c r="Q2"/>
      <c r="S2"/>
      <c r="T2"/>
      <c r="U2"/>
      <c r="V2"/>
      <c r="W2"/>
      <c r="Z2"/>
    </row>
    <row r="3" spans="1:26" x14ac:dyDescent="0.25">
      <c r="B3" s="21"/>
      <c r="C3" s="21"/>
      <c r="E3" s="10"/>
      <c r="F3" s="15"/>
      <c r="G3" s="15"/>
      <c r="H3" s="15"/>
      <c r="I3" s="1"/>
      <c r="J3" s="1"/>
      <c r="O3"/>
      <c r="P3"/>
      <c r="Q3"/>
      <c r="S3"/>
      <c r="T3"/>
      <c r="U3"/>
      <c r="V3"/>
      <c r="W3"/>
      <c r="Z3"/>
    </row>
    <row r="4" spans="1:26" x14ac:dyDescent="0.25">
      <c r="B4" s="21"/>
      <c r="C4" s="21"/>
      <c r="E4" s="10"/>
      <c r="F4" s="15"/>
      <c r="G4" s="15"/>
      <c r="H4" s="15"/>
      <c r="I4" s="1"/>
      <c r="J4" s="1"/>
      <c r="O4"/>
      <c r="P4"/>
      <c r="Q4"/>
      <c r="S4"/>
      <c r="T4"/>
      <c r="U4"/>
      <c r="V4"/>
      <c r="W4"/>
      <c r="Z4"/>
    </row>
    <row r="5" spans="1:26" x14ac:dyDescent="0.25">
      <c r="B5" s="21"/>
      <c r="C5" s="21"/>
      <c r="E5" s="10"/>
      <c r="F5" s="15"/>
      <c r="G5" s="15"/>
      <c r="H5" s="15"/>
      <c r="I5" s="1"/>
      <c r="J5" s="1"/>
      <c r="O5"/>
      <c r="P5"/>
      <c r="Q5"/>
      <c r="S5"/>
      <c r="T5"/>
      <c r="U5"/>
      <c r="V5"/>
      <c r="W5"/>
      <c r="Z5"/>
    </row>
    <row r="6" spans="1:26" ht="34.15" customHeight="1" x14ac:dyDescent="0.25">
      <c r="B6" s="21"/>
      <c r="C6" s="21"/>
      <c r="D6" s="22"/>
      <c r="E6" s="22"/>
      <c r="F6" s="15"/>
      <c r="G6" s="15"/>
      <c r="H6" s="15"/>
      <c r="I6" s="1"/>
      <c r="J6" s="1"/>
      <c r="O6"/>
      <c r="P6"/>
      <c r="Q6"/>
      <c r="S6"/>
      <c r="T6"/>
      <c r="U6"/>
      <c r="V6"/>
      <c r="W6"/>
      <c r="Z6"/>
    </row>
    <row r="7" spans="1:26" ht="43.9" customHeight="1" x14ac:dyDescent="0.25">
      <c r="A7" s="2" t="s">
        <v>0</v>
      </c>
      <c r="B7" s="3" t="s">
        <v>41</v>
      </c>
      <c r="C7" s="3" t="s">
        <v>42</v>
      </c>
      <c r="D7" s="7" t="s">
        <v>19</v>
      </c>
      <c r="E7" s="11" t="s">
        <v>50</v>
      </c>
      <c r="F7" s="19" t="s">
        <v>37</v>
      </c>
      <c r="G7" s="12" t="s">
        <v>17</v>
      </c>
      <c r="H7" s="12" t="s">
        <v>18</v>
      </c>
      <c r="I7" s="16" t="s">
        <v>39</v>
      </c>
      <c r="J7" s="16" t="s">
        <v>24</v>
      </c>
      <c r="K7" s="3" t="s">
        <v>38</v>
      </c>
      <c r="L7" s="24" t="s">
        <v>40</v>
      </c>
      <c r="O7"/>
      <c r="P7"/>
      <c r="Q7"/>
      <c r="S7"/>
      <c r="T7"/>
      <c r="U7"/>
      <c r="V7"/>
      <c r="W7"/>
      <c r="Z7"/>
    </row>
    <row r="8" spans="1:26" x14ac:dyDescent="0.25">
      <c r="A8" s="4" t="s">
        <v>8</v>
      </c>
      <c r="B8" s="5" t="s">
        <v>20</v>
      </c>
      <c r="C8" s="5" t="s">
        <v>129</v>
      </c>
      <c r="D8" s="9">
        <v>3299.9589999999998</v>
      </c>
      <c r="E8" s="9">
        <v>3299.9589999999998</v>
      </c>
      <c r="F8" s="14">
        <v>46020.729166666664</v>
      </c>
      <c r="G8" s="14">
        <v>46029.673611111109</v>
      </c>
      <c r="H8" s="14">
        <v>46029.930555555555</v>
      </c>
      <c r="I8" s="18">
        <v>46018</v>
      </c>
      <c r="J8" s="18" t="s">
        <v>15</v>
      </c>
      <c r="K8" s="6" t="str">
        <f>CONCATENATE(Таблица16[[#This Row],[ТХ ]],"/",Таблица16[[#This Row],[Дата  составления  B\L речник]])</f>
        <v>т/х Дон Стар 8 ИМО 8884957/46018</v>
      </c>
      <c r="L8" s="17">
        <v>46029</v>
      </c>
      <c r="M8" s="10"/>
      <c r="N8" s="10"/>
      <c r="O8" s="10"/>
      <c r="P8" s="10"/>
      <c r="Q8"/>
      <c r="S8" s="20"/>
      <c r="T8"/>
      <c r="U8"/>
      <c r="V8"/>
      <c r="W8"/>
      <c r="Z8"/>
    </row>
    <row r="9" spans="1:26" x14ac:dyDescent="0.25">
      <c r="A9" s="4" t="s">
        <v>11</v>
      </c>
      <c r="B9" s="5" t="s">
        <v>20</v>
      </c>
      <c r="C9" s="5" t="s">
        <v>129</v>
      </c>
      <c r="D9" s="9">
        <v>4756.8789999999999</v>
      </c>
      <c r="E9" s="9">
        <v>4756.8789999999999</v>
      </c>
      <c r="F9" s="14">
        <v>46020.885416666664</v>
      </c>
      <c r="G9" s="14">
        <v>46036.701388888891</v>
      </c>
      <c r="H9" s="14">
        <v>46036.989583333336</v>
      </c>
      <c r="I9" s="18">
        <v>46019</v>
      </c>
      <c r="J9" s="18" t="s">
        <v>14</v>
      </c>
      <c r="K9" s="6" t="str">
        <f>CONCATENATE(Таблица16[[#This Row],[ТХ ]],"/",Таблица16[[#This Row],[Дата  составления  B\L речник]])</f>
        <v>Волго-Дон 5079 ИМО 8852784/46019</v>
      </c>
      <c r="L9" s="17">
        <v>46036</v>
      </c>
      <c r="M9" s="10"/>
      <c r="N9" s="10"/>
      <c r="O9" s="10"/>
      <c r="P9" s="10"/>
      <c r="Q9"/>
      <c r="S9" s="20"/>
      <c r="T9"/>
      <c r="U9"/>
      <c r="V9"/>
      <c r="W9"/>
      <c r="Z9"/>
    </row>
    <row r="10" spans="1:26" x14ac:dyDescent="0.25">
      <c r="A10" s="4" t="s">
        <v>2</v>
      </c>
      <c r="B10" s="5" t="s">
        <v>20</v>
      </c>
      <c r="C10" s="5" t="s">
        <v>129</v>
      </c>
      <c r="D10" s="9">
        <v>3900</v>
      </c>
      <c r="E10" s="9">
        <v>3900</v>
      </c>
      <c r="F10" s="14">
        <v>46021.875</v>
      </c>
      <c r="G10" s="14">
        <v>46029.836805555555</v>
      </c>
      <c r="H10" s="14">
        <v>46030.204861111109</v>
      </c>
      <c r="I10" s="18">
        <v>46020</v>
      </c>
      <c r="J10" s="18" t="s">
        <v>14</v>
      </c>
      <c r="K10" s="6" t="str">
        <f>CONCATENATE(Таблица16[[#This Row],[ТХ ]],"/",Таблица16[[#This Row],[Дата  составления  B\L речник]])</f>
        <v>т/х Дон Стар 2 ИМО 7911480/46020</v>
      </c>
      <c r="L10" s="17">
        <v>46024</v>
      </c>
      <c r="M10" s="10"/>
      <c r="N10" s="10"/>
      <c r="O10" s="10"/>
      <c r="P10" s="10"/>
      <c r="Q10"/>
      <c r="S10" s="20"/>
      <c r="T10"/>
      <c r="U10"/>
      <c r="V10"/>
      <c r="W10"/>
      <c r="Z10"/>
    </row>
    <row r="11" spans="1:26" x14ac:dyDescent="0.25">
      <c r="A11" s="4" t="s">
        <v>5</v>
      </c>
      <c r="B11" s="5" t="s">
        <v>20</v>
      </c>
      <c r="C11" s="5" t="s">
        <v>129</v>
      </c>
      <c r="D11" s="9">
        <v>3300.549</v>
      </c>
      <c r="E11" s="9">
        <v>3300.549</v>
      </c>
      <c r="F11" s="14">
        <v>46023.625</v>
      </c>
      <c r="G11" s="14">
        <v>46029.642361111109</v>
      </c>
      <c r="H11" s="14">
        <v>46029.944444444445</v>
      </c>
      <c r="I11" s="18">
        <v>46022</v>
      </c>
      <c r="J11" s="18" t="s">
        <v>14</v>
      </c>
      <c r="K11" s="6" t="str">
        <f>CONCATENATE(Таблица16[[#This Row],[ТХ ]],"/",Таблица16[[#This Row],[Дата  составления  B\L речник]])</f>
        <v>т/х Дон Стар 5 ИМО 8955469/46022</v>
      </c>
      <c r="L11" s="17">
        <v>46029</v>
      </c>
      <c r="M11" s="10"/>
      <c r="N11" s="10"/>
      <c r="O11" s="10"/>
      <c r="P11" s="10"/>
      <c r="Q11"/>
      <c r="S11" s="20"/>
      <c r="T11"/>
      <c r="U11"/>
      <c r="V11"/>
      <c r="W11"/>
      <c r="Z11"/>
    </row>
    <row r="12" spans="1:26" x14ac:dyDescent="0.25">
      <c r="A12" s="4" t="s">
        <v>6</v>
      </c>
      <c r="B12" s="5" t="s">
        <v>20</v>
      </c>
      <c r="C12" s="5" t="s">
        <v>129</v>
      </c>
      <c r="D12" s="9">
        <v>3251.2559999999999</v>
      </c>
      <c r="E12" s="9">
        <v>3251.2559999999999</v>
      </c>
      <c r="F12" s="14">
        <v>46027.822916666664</v>
      </c>
      <c r="G12" s="14">
        <v>46029.715277777781</v>
      </c>
      <c r="H12" s="14">
        <v>46030.104166666664</v>
      </c>
      <c r="I12" s="18">
        <v>46025</v>
      </c>
      <c r="J12" s="18" t="s">
        <v>15</v>
      </c>
      <c r="K12" s="6" t="str">
        <f>CONCATENATE(Таблица16[[#This Row],[ТХ ]],"/",Таблица16[[#This Row],[Дата  составления  B\L речник]])</f>
        <v>т/х Дон Стар 6 ИМО 8951396/46025</v>
      </c>
      <c r="L12" s="17">
        <v>46029</v>
      </c>
      <c r="M12" s="10"/>
      <c r="N12" s="10"/>
      <c r="O12" s="10"/>
      <c r="P12" s="10"/>
      <c r="Q12"/>
      <c r="S12" s="20"/>
      <c r="T12"/>
      <c r="U12"/>
      <c r="V12"/>
      <c r="W12"/>
      <c r="Z12"/>
    </row>
    <row r="13" spans="1:26" x14ac:dyDescent="0.25">
      <c r="A13" s="4" t="s">
        <v>7</v>
      </c>
      <c r="B13" s="5" t="s">
        <v>20</v>
      </c>
      <c r="C13" s="5" t="s">
        <v>129</v>
      </c>
      <c r="D13" s="9">
        <v>3209.933</v>
      </c>
      <c r="E13" s="9">
        <v>3209.933</v>
      </c>
      <c r="F13" s="14">
        <v>46018.895833333336</v>
      </c>
      <c r="G13" s="14">
        <v>46028.416666666664</v>
      </c>
      <c r="H13" s="14">
        <v>46029.673611111109</v>
      </c>
      <c r="I13" s="18">
        <v>46017</v>
      </c>
      <c r="J13" s="18" t="s">
        <v>14</v>
      </c>
      <c r="K13" s="6" t="str">
        <f>CONCATENATE(Таблица16[[#This Row],[ТХ ]],"/",Таблица16[[#This Row],[Дата  составления  B\L речник]])</f>
        <v>т/х Дон Стар 7 ИМО 8844153/46017</v>
      </c>
      <c r="L13" s="17">
        <v>46028</v>
      </c>
      <c r="M13" s="10"/>
      <c r="N13" s="10"/>
      <c r="O13" s="10"/>
      <c r="P13" s="10"/>
      <c r="Q13"/>
      <c r="S13" s="20"/>
      <c r="T13"/>
      <c r="U13"/>
      <c r="V13"/>
      <c r="W13"/>
      <c r="Z13"/>
    </row>
    <row r="14" spans="1:26" x14ac:dyDescent="0.25">
      <c r="A14" s="4" t="s">
        <v>26</v>
      </c>
      <c r="B14" s="5" t="s">
        <v>20</v>
      </c>
      <c r="C14" s="5" t="s">
        <v>129</v>
      </c>
      <c r="D14" s="9">
        <v>4159.9269999999997</v>
      </c>
      <c r="E14" s="9">
        <v>4159.9269999999997</v>
      </c>
      <c r="F14" s="14">
        <v>46034.708333333336</v>
      </c>
      <c r="G14" s="14">
        <v>46037.25</v>
      </c>
      <c r="H14" s="14">
        <v>46037.979166666664</v>
      </c>
      <c r="I14" s="18">
        <v>46030</v>
      </c>
      <c r="J14" s="18" t="s">
        <v>14</v>
      </c>
      <c r="K14" s="6" t="str">
        <f>CONCATENATE(Таблица16[[#This Row],[ТХ ]],"/",Таблица16[[#This Row],[Дата  составления  B\L речник]])</f>
        <v>т/х В.Успенский   ИМО 8946389/46030</v>
      </c>
      <c r="L14" s="17">
        <v>46036</v>
      </c>
      <c r="M14" s="10"/>
      <c r="N14" s="10"/>
      <c r="O14" s="10"/>
      <c r="P14" s="10"/>
      <c r="Q14"/>
      <c r="S14" s="20"/>
      <c r="T14"/>
      <c r="U14"/>
      <c r="V14"/>
      <c r="W14"/>
      <c r="Z14"/>
    </row>
    <row r="15" spans="1:26" x14ac:dyDescent="0.25">
      <c r="A15" s="4" t="s">
        <v>27</v>
      </c>
      <c r="B15" s="5" t="s">
        <v>20</v>
      </c>
      <c r="C15" s="5" t="s">
        <v>129</v>
      </c>
      <c r="D15" s="9">
        <v>4196.6220000000003</v>
      </c>
      <c r="E15" s="9">
        <v>4196.6220000000003</v>
      </c>
      <c r="F15" s="14">
        <v>46028.822916666664</v>
      </c>
      <c r="G15" s="14">
        <v>46035.71875</v>
      </c>
      <c r="H15" s="14">
        <v>46035.96875</v>
      </c>
      <c r="I15" s="18">
        <v>46021</v>
      </c>
      <c r="J15" s="18" t="s">
        <v>14</v>
      </c>
      <c r="K15" s="23" t="str">
        <f>CONCATENATE(Таблица16[[#This Row],[ТХ ]],"/",Таблица16[[#This Row],[Дата  составления  B\L речник]])</f>
        <v>т/х Волго-Дон 217 ИМО 8946377/46021</v>
      </c>
      <c r="L15" s="18">
        <v>46036</v>
      </c>
    </row>
    <row r="16" spans="1:26" x14ac:dyDescent="0.25">
      <c r="A16" s="4" t="s">
        <v>4</v>
      </c>
      <c r="B16" s="5" t="s">
        <v>20</v>
      </c>
      <c r="C16" s="5" t="s">
        <v>129</v>
      </c>
      <c r="D16" s="9">
        <v>4012.3980000000001</v>
      </c>
      <c r="E16" s="9">
        <v>4012.3980000000001</v>
      </c>
      <c r="F16" s="14">
        <v>46012.666666666664</v>
      </c>
      <c r="G16" s="14">
        <v>46023.416666666664</v>
      </c>
      <c r="H16" s="14">
        <v>46023.625</v>
      </c>
      <c r="I16" s="18">
        <v>46009</v>
      </c>
      <c r="J16" s="18" t="s">
        <v>15</v>
      </c>
      <c r="K16" s="23" t="str">
        <f>CONCATENATE(Таблица16[[#This Row],[ТХ ]],"/",Таблица16[[#This Row],[Дата  составления  B\L речник]])</f>
        <v>т/х Дон Стар 4 ИМО 7911478/46009</v>
      </c>
      <c r="L16" s="18">
        <v>46106</v>
      </c>
    </row>
    <row r="17" spans="1:12" x14ac:dyDescent="0.25">
      <c r="A17" s="4" t="s">
        <v>1</v>
      </c>
      <c r="B17" s="5" t="s">
        <v>20</v>
      </c>
      <c r="C17" s="5" t="s">
        <v>129</v>
      </c>
      <c r="D17" s="9">
        <v>3300.29</v>
      </c>
      <c r="E17" s="45">
        <v>3300.29</v>
      </c>
      <c r="F17" s="14">
        <v>46013.659722222219</v>
      </c>
      <c r="G17" s="14">
        <v>46028.385416666664</v>
      </c>
      <c r="H17" s="14">
        <v>46028.708333333336</v>
      </c>
      <c r="I17" s="18">
        <v>46013</v>
      </c>
      <c r="J17" s="18" t="s">
        <v>15</v>
      </c>
      <c r="K17" s="23" t="str">
        <f>CONCATENATE(Таблица16[[#This Row],[ТХ ]],"/",Таблица16[[#This Row],[Дата  составления  B\L речник]])</f>
        <v>т/х Дон Стар 1 ИМО 8866735/46013</v>
      </c>
      <c r="L17" s="18">
        <v>46106</v>
      </c>
    </row>
    <row r="18" spans="1:12" x14ac:dyDescent="0.25">
      <c r="A18" s="4" t="s">
        <v>4</v>
      </c>
      <c r="B18" s="5" t="s">
        <v>20</v>
      </c>
      <c r="C18" s="5" t="s">
        <v>129</v>
      </c>
      <c r="D18" s="9">
        <v>4055.2460000000001</v>
      </c>
      <c r="E18" s="9">
        <v>3398.27</v>
      </c>
      <c r="F18" s="14">
        <v>46037.993055555555</v>
      </c>
      <c r="G18" s="14">
        <v>46043.079861111109</v>
      </c>
      <c r="H18" s="14">
        <v>46043.079861111109</v>
      </c>
      <c r="I18" s="18">
        <v>46035</v>
      </c>
      <c r="J18" s="18" t="s">
        <v>14</v>
      </c>
      <c r="K18" s="23" t="str">
        <f>CONCATENATE(Таблица16[[#This Row],[ТХ ]],"/",Таблица16[[#This Row],[Дата  составления  B\L речник]])</f>
        <v>т/х Дон Стар 4 ИМО 7911478/46035</v>
      </c>
      <c r="L18" s="18">
        <v>46043</v>
      </c>
    </row>
    <row r="19" spans="1:12" x14ac:dyDescent="0.25">
      <c r="A19" s="4" t="s">
        <v>4</v>
      </c>
      <c r="B19" s="5" t="s">
        <v>20</v>
      </c>
      <c r="C19" s="5" t="s">
        <v>129</v>
      </c>
      <c r="D19" s="9">
        <v>4055.2460000000001</v>
      </c>
      <c r="E19" s="9">
        <v>656.976</v>
      </c>
      <c r="F19" s="14">
        <v>46037.993055555555</v>
      </c>
      <c r="G19" s="14">
        <v>46042.756944444445</v>
      </c>
      <c r="H19" s="14">
        <v>46042.809027777781</v>
      </c>
      <c r="I19" s="18">
        <v>46035</v>
      </c>
      <c r="J19" s="18" t="s">
        <v>15</v>
      </c>
      <c r="K19" s="23" t="str">
        <f>CONCATENATE(Таблица16[[#This Row],[ТХ ]],"/",Таблица16[[#This Row],[Дата  составления  B\L речник]])</f>
        <v>т/х Дон Стар 4 ИМО 7911478/46035</v>
      </c>
      <c r="L19" s="18">
        <v>46043</v>
      </c>
    </row>
    <row r="20" spans="1:12" x14ac:dyDescent="0.25">
      <c r="A20" s="4" t="s">
        <v>2</v>
      </c>
      <c r="B20" s="5" t="s">
        <v>83</v>
      </c>
      <c r="C20" s="5" t="s">
        <v>129</v>
      </c>
      <c r="D20" s="9">
        <v>4011.3440000000001</v>
      </c>
      <c r="E20" s="9">
        <v>4011.3440000000001</v>
      </c>
      <c r="F20" s="14">
        <v>46038.0625</v>
      </c>
      <c r="G20" s="14">
        <v>46042.743055555555</v>
      </c>
      <c r="H20" s="14">
        <v>46042.975694444445</v>
      </c>
      <c r="I20" s="18">
        <v>46035</v>
      </c>
      <c r="J20" s="18" t="s">
        <v>14</v>
      </c>
      <c r="K20" s="23" t="str">
        <f>CONCATENATE(Таблица16[[#This Row],[ТХ ]],"/",Таблица16[[#This Row],[Дата  составления  B\L речник]])</f>
        <v>т/х Дон Стар 2 ИМО 7911480/46035</v>
      </c>
      <c r="L20" s="18">
        <v>46043</v>
      </c>
    </row>
    <row r="21" spans="1:12" x14ac:dyDescent="0.25">
      <c r="A21" s="4" t="s">
        <v>6</v>
      </c>
      <c r="B21" s="5" t="s">
        <v>83</v>
      </c>
      <c r="C21" s="5" t="s">
        <v>129</v>
      </c>
      <c r="D21" s="9">
        <v>3080.8</v>
      </c>
      <c r="E21" s="9">
        <v>3080.8</v>
      </c>
      <c r="F21" s="14">
        <v>46055.833333333336</v>
      </c>
      <c r="G21" s="14">
        <v>46060.75</v>
      </c>
      <c r="H21" s="14">
        <v>46061.104166666664</v>
      </c>
      <c r="I21" s="18">
        <v>46038</v>
      </c>
      <c r="J21" s="18" t="s">
        <v>14</v>
      </c>
      <c r="K21" s="23" t="str">
        <f>CONCATENATE(Таблица16[[#This Row],[ТХ ]],"/",Таблица16[[#This Row],[Дата  составления  B\L речник]])</f>
        <v>т/х Дон Стар 6 ИМО 8951396/46038</v>
      </c>
      <c r="L21" s="18">
        <v>46061</v>
      </c>
    </row>
    <row r="22" spans="1:12" x14ac:dyDescent="0.25">
      <c r="A22" s="4" t="s">
        <v>1</v>
      </c>
      <c r="B22" s="5" t="s">
        <v>20</v>
      </c>
      <c r="C22" s="5" t="s">
        <v>129</v>
      </c>
      <c r="D22" s="9">
        <v>3103.1849999999999</v>
      </c>
      <c r="E22" s="9">
        <v>3103.1849999999999</v>
      </c>
      <c r="F22" s="14">
        <v>46044.5</v>
      </c>
      <c r="G22" s="14">
        <v>46045.722222222219</v>
      </c>
      <c r="H22" s="14">
        <v>46046.25</v>
      </c>
      <c r="I22" s="18">
        <v>46039</v>
      </c>
      <c r="J22" s="18" t="s">
        <v>14</v>
      </c>
      <c r="K22" s="23" t="str">
        <f>CONCATENATE(Таблица16[[#This Row],[ТХ ]],"/",Таблица16[[#This Row],[Дата  составления  B\L речник]])</f>
        <v>т/х Дон Стар 1 ИМО 8866735/46039</v>
      </c>
      <c r="L22" s="18">
        <v>46048</v>
      </c>
    </row>
    <row r="23" spans="1:12" x14ac:dyDescent="0.25">
      <c r="A23" s="32" t="s">
        <v>2</v>
      </c>
      <c r="B23" s="5" t="s">
        <v>20</v>
      </c>
      <c r="C23" s="5" t="s">
        <v>129</v>
      </c>
      <c r="D23" s="9">
        <v>4001.7570000000001</v>
      </c>
      <c r="E23" s="9">
        <v>4001.7570000000001</v>
      </c>
      <c r="F23" s="14">
        <v>46056.041666666664</v>
      </c>
      <c r="G23" s="14">
        <v>46057.739583333336</v>
      </c>
      <c r="H23" s="14">
        <v>46058.138888888891</v>
      </c>
      <c r="I23" s="18">
        <v>46049</v>
      </c>
      <c r="J23" s="31" t="s">
        <v>14</v>
      </c>
      <c r="K23" s="23" t="str">
        <f>CONCATENATE(Таблица16[[#This Row],[ТХ ]],"/",Таблица16[[#This Row],[Дата  составления  B\L речник]])</f>
        <v>т/х Дон Стар 2 ИМО 7911480/46049</v>
      </c>
      <c r="L23" s="18">
        <v>46058</v>
      </c>
    </row>
    <row r="24" spans="1:12" x14ac:dyDescent="0.25">
      <c r="A24" s="32" t="s">
        <v>5</v>
      </c>
      <c r="B24" s="5" t="s">
        <v>83</v>
      </c>
      <c r="C24" s="5" t="s">
        <v>129</v>
      </c>
      <c r="D24" s="9">
        <v>3008.0459999999998</v>
      </c>
      <c r="E24" s="9">
        <v>3008.0459999999998</v>
      </c>
      <c r="F24" s="14">
        <v>46055.916666666664</v>
      </c>
      <c r="G24" s="14">
        <v>46058.25</v>
      </c>
      <c r="H24" s="14">
        <v>46058.614583333336</v>
      </c>
      <c r="I24" s="18">
        <v>46049</v>
      </c>
      <c r="J24" s="31" t="s">
        <v>14</v>
      </c>
      <c r="K24" s="23" t="str">
        <f>CONCATENATE(Таблица16[[#This Row],[ТХ ]],"/",Таблица16[[#This Row],[Дата  составления  B\L речник]])</f>
        <v>т/х Дон Стар 5 ИМО 8955469/46049</v>
      </c>
      <c r="L24" s="18">
        <v>46058</v>
      </c>
    </row>
    <row r="25" spans="1:12" x14ac:dyDescent="0.25">
      <c r="A25" s="32" t="s">
        <v>26</v>
      </c>
      <c r="B25" s="5" t="s">
        <v>83</v>
      </c>
      <c r="C25" s="5" t="s">
        <v>129</v>
      </c>
      <c r="D25" s="9" t="e">
        <f>INDEX(#REF!,MATCH(Таблица16[[#This Row],[Id key]],#REF!,0))</f>
        <v>#REF!</v>
      </c>
      <c r="E25" s="9">
        <v>4300.5600000000004</v>
      </c>
      <c r="F25" s="14">
        <v>46076.229166666664</v>
      </c>
      <c r="G25" s="14">
        <v>46079.444444444445</v>
      </c>
      <c r="H25" s="14">
        <v>46079.701388888891</v>
      </c>
      <c r="I25" s="18">
        <v>46054</v>
      </c>
      <c r="J25" s="31" t="s">
        <v>14</v>
      </c>
      <c r="K25" s="23" t="str">
        <f>CONCATENATE(Таблица16[[#This Row],[ТХ ]],"/",Таблица16[[#This Row],[Дата  составления  B\L речник]])</f>
        <v>т/х В.Успенский   ИМО 8946389/46054</v>
      </c>
      <c r="L25" s="18">
        <v>46078</v>
      </c>
    </row>
    <row r="26" spans="1:12" x14ac:dyDescent="0.25">
      <c r="A26" s="38" t="s">
        <v>2</v>
      </c>
      <c r="B26" s="5" t="s">
        <v>83</v>
      </c>
      <c r="C26" s="5" t="s">
        <v>129</v>
      </c>
      <c r="D26" s="9" t="e">
        <f>INDEX(#REF!,MATCH(Таблица16[[#This Row],[Id key]],#REF!,0))</f>
        <v>#REF!</v>
      </c>
      <c r="E26" s="8">
        <v>4034.2849999999999</v>
      </c>
      <c r="F26" s="13">
        <v>46071.833333333336</v>
      </c>
      <c r="G26" s="13">
        <v>46075.729166666664</v>
      </c>
      <c r="H26" s="13">
        <v>46076.270833333336</v>
      </c>
      <c r="I26" s="18">
        <v>46069</v>
      </c>
      <c r="J26" s="40" t="s">
        <v>14</v>
      </c>
      <c r="K26" s="39" t="str">
        <f>CONCATENATE(Таблица16[[#This Row],[ТХ ]],"/",Таблица16[[#This Row],[Дата  составления  B\L речник]])</f>
        <v>т/х Дон Стар 2 ИМО 7911480/46069</v>
      </c>
      <c r="L26" s="18">
        <v>46073</v>
      </c>
    </row>
    <row r="27" spans="1:12" x14ac:dyDescent="0.25">
      <c r="A27" s="38" t="s">
        <v>5</v>
      </c>
      <c r="B27" s="5" t="s">
        <v>83</v>
      </c>
      <c r="C27" s="5" t="s">
        <v>129</v>
      </c>
      <c r="D27" s="9" t="e">
        <f>INDEX(#REF!,MATCH(Таблица16[[#This Row],[Id key]],#REF!,0))</f>
        <v>#REF!</v>
      </c>
      <c r="E27" s="8">
        <v>3299.5250000000001</v>
      </c>
      <c r="F27" s="13">
        <v>46071.611111111109</v>
      </c>
      <c r="G27" s="13">
        <v>46075.743055555555</v>
      </c>
      <c r="H27" s="13">
        <v>46076.041666666664</v>
      </c>
      <c r="I27" s="18">
        <v>46067</v>
      </c>
      <c r="J27" s="40" t="s">
        <v>14</v>
      </c>
      <c r="K27" s="39" t="str">
        <f>CONCATENATE(Таблица16[[#This Row],[ТХ ]],"/",Таблица16[[#This Row],[Дата  составления  B\L речник]])</f>
        <v>т/х Дон Стар 5 ИМО 8955469/46067</v>
      </c>
      <c r="L27" s="18">
        <v>46073</v>
      </c>
    </row>
    <row r="28" spans="1:12" x14ac:dyDescent="0.25">
      <c r="A28" s="32" t="s">
        <v>7</v>
      </c>
      <c r="B28" s="5" t="s">
        <v>20</v>
      </c>
      <c r="C28" s="5" t="s">
        <v>129</v>
      </c>
      <c r="D28" s="9" t="e">
        <f>INDEX(#REF!,MATCH(Таблица16[[#This Row],[Id key]],#REF!,0))</f>
        <v>#REF!</v>
      </c>
      <c r="E28" s="9">
        <v>3235.8980000000001</v>
      </c>
      <c r="F28" s="14"/>
      <c r="G28" s="14"/>
      <c r="H28" s="14"/>
      <c r="I28" s="18">
        <v>46077</v>
      </c>
      <c r="J28" s="31" t="s">
        <v>102</v>
      </c>
      <c r="K28" s="23" t="str">
        <f>CONCATENATE(Таблица16[[#This Row],[ТХ ]],"/",Таблица16[[#This Row],[Дата  составления  B\L речник]])</f>
        <v>т/х Дон Стар 7 ИМО 8844153/46077</v>
      </c>
      <c r="L28" s="18">
        <v>46084</v>
      </c>
    </row>
    <row r="29" spans="1:12" x14ac:dyDescent="0.25">
      <c r="A29" s="38" t="s">
        <v>27</v>
      </c>
      <c r="B29" s="5" t="s">
        <v>20</v>
      </c>
      <c r="C29" s="5" t="s">
        <v>129</v>
      </c>
      <c r="D29" s="9" t="e">
        <f>INDEX(#REF!,MATCH(Таблица16[[#This Row],[Id key]],#REF!,0))</f>
        <v>#REF!</v>
      </c>
      <c r="E29" s="9">
        <v>4268.1030000000001</v>
      </c>
      <c r="F29" s="14"/>
      <c r="G29" s="14"/>
      <c r="H29" s="14"/>
      <c r="I29" s="18">
        <v>46080</v>
      </c>
      <c r="J29" s="31" t="s">
        <v>102</v>
      </c>
      <c r="K29" s="39" t="str">
        <f>CONCATENATE(Таблица16[[#This Row],[ТХ ]],"/",Таблица16[[#This Row],[Дата  составления  B\L речник]])</f>
        <v>т/х Волго-Дон 217 ИМО 8946377/46080</v>
      </c>
      <c r="L29" s="18">
        <v>46085</v>
      </c>
    </row>
    <row r="30" spans="1:12" x14ac:dyDescent="0.25">
      <c r="A30" s="38" t="s">
        <v>2</v>
      </c>
      <c r="B30" s="5" t="s">
        <v>20</v>
      </c>
      <c r="C30" s="5" t="s">
        <v>129</v>
      </c>
      <c r="D30" s="9" t="e">
        <f>INDEX(#REF!,MATCH(Таблица16[[#This Row],[Id key]],#REF!,0))</f>
        <v>#REF!</v>
      </c>
      <c r="E30" s="9">
        <v>3684.5790000000002</v>
      </c>
      <c r="F30" s="14"/>
      <c r="G30" s="14"/>
      <c r="H30" s="14"/>
      <c r="I30" s="18">
        <v>46081</v>
      </c>
      <c r="J30" s="31" t="s">
        <v>102</v>
      </c>
      <c r="K30" s="39" t="str">
        <f>CONCATENATE(Таблица16[[#This Row],[ТХ ]],"/",Таблица16[[#This Row],[Дата  составления  B\L речник]])</f>
        <v>т/х Дон Стар 2 ИМО 7911480/46081</v>
      </c>
      <c r="L30" s="18">
        <v>46084</v>
      </c>
    </row>
    <row r="31" spans="1:12" x14ac:dyDescent="0.25">
      <c r="A31" s="38" t="s">
        <v>2</v>
      </c>
      <c r="B31" s="5" t="s">
        <v>20</v>
      </c>
      <c r="C31" s="5" t="s">
        <v>129</v>
      </c>
      <c r="D31" s="9" t="e">
        <f>INDEX(#REF!,MATCH(Таблица16[[#This Row],[Id key]],#REF!,0))</f>
        <v>#REF!</v>
      </c>
      <c r="E31" s="9">
        <v>317.01900000000001</v>
      </c>
      <c r="F31" s="14"/>
      <c r="G31" s="14"/>
      <c r="H31" s="14"/>
      <c r="I31" s="18">
        <v>46081</v>
      </c>
      <c r="J31" s="31" t="s">
        <v>15</v>
      </c>
      <c r="K31" s="39" t="str">
        <f>CONCATENATE(Таблица16[[#This Row],[ТХ ]],"/",Таблица16[[#This Row],[Дата  составления  B\L речник]])</f>
        <v>т/х Дон Стар 2 ИМО 7911480/46081</v>
      </c>
      <c r="L31" s="18">
        <v>46106</v>
      </c>
    </row>
    <row r="32" spans="1:12" x14ac:dyDescent="0.25">
      <c r="A32" s="38" t="s">
        <v>99</v>
      </c>
      <c r="B32" s="5" t="s">
        <v>20</v>
      </c>
      <c r="C32" s="5" t="s">
        <v>129</v>
      </c>
      <c r="D32" s="9" t="e">
        <f>INDEX(#REF!,MATCH(Таблица16[[#This Row],[Id key]],#REF!,0))</f>
        <v>#REF!</v>
      </c>
      <c r="E32" s="9">
        <v>2800.0630000000001</v>
      </c>
      <c r="F32" s="14"/>
      <c r="G32" s="14"/>
      <c r="H32" s="14"/>
      <c r="I32" s="18">
        <v>46082</v>
      </c>
      <c r="J32" s="31" t="s">
        <v>102</v>
      </c>
      <c r="K32" s="39" t="str">
        <f>CONCATENATE(Таблица16[[#This Row],[ТХ ]],"/",Таблица16[[#This Row],[Дата  составления  B\L речник]])</f>
        <v>т/х Дон 7111420/46082</v>
      </c>
      <c r="L32" s="18">
        <v>46085</v>
      </c>
    </row>
    <row r="33" spans="1:12" x14ac:dyDescent="0.25">
      <c r="A33" s="38" t="s">
        <v>5</v>
      </c>
      <c r="B33" s="5" t="s">
        <v>20</v>
      </c>
      <c r="C33" s="5" t="s">
        <v>129</v>
      </c>
      <c r="D33" s="9" t="e">
        <f>INDEX(#REF!,MATCH(Таблица16[[#This Row],[Id key]],#REF!,0))</f>
        <v>#REF!</v>
      </c>
      <c r="E33" s="44">
        <v>3300.1390000000001</v>
      </c>
      <c r="F33" s="14"/>
      <c r="G33" s="14"/>
      <c r="H33" s="14"/>
      <c r="I33" s="18">
        <v>46082</v>
      </c>
      <c r="J33" s="31" t="s">
        <v>15</v>
      </c>
      <c r="K33" s="39" t="str">
        <f>CONCATENATE(Таблица16[[#This Row],[ТХ ]],"/",Таблица16[[#This Row],[Дата  составления  B\L речник]])</f>
        <v>т/х Дон Стар 5 ИМО 8955469/46082</v>
      </c>
      <c r="L33" s="18">
        <v>46085</v>
      </c>
    </row>
    <row r="34" spans="1:12" x14ac:dyDescent="0.25">
      <c r="A34" s="38" t="s">
        <v>4</v>
      </c>
      <c r="B34" s="5" t="s">
        <v>20</v>
      </c>
      <c r="C34" s="5" t="s">
        <v>129</v>
      </c>
      <c r="D34" s="9" t="e">
        <f>INDEX(#REF!,MATCH(Таблица16[[#This Row],[Id key]],#REF!,0))</f>
        <v>#REF!</v>
      </c>
      <c r="E34" s="44">
        <v>4009.127</v>
      </c>
      <c r="F34" s="14">
        <v>46085.166666666664</v>
      </c>
      <c r="G34" s="13">
        <v>46087.680555555555</v>
      </c>
      <c r="H34" s="14">
        <v>46087.909722222219</v>
      </c>
      <c r="I34" s="18">
        <v>46083</v>
      </c>
      <c r="J34" s="31" t="s">
        <v>15</v>
      </c>
      <c r="K34" s="39" t="str">
        <f>CONCATENATE(Таблица16[[#This Row],[ТХ ]],"/",Таблица16[[#This Row],[Дата  составления  B\L речник]])</f>
        <v>т/х Дон Стар 4 ИМО 7911478/46083</v>
      </c>
      <c r="L34" s="18">
        <v>46087</v>
      </c>
    </row>
    <row r="35" spans="1:12" x14ac:dyDescent="0.25">
      <c r="A35" s="38" t="s">
        <v>97</v>
      </c>
      <c r="B35" s="5" t="s">
        <v>20</v>
      </c>
      <c r="C35" s="5" t="s">
        <v>129</v>
      </c>
      <c r="D35" s="9" t="e">
        <f>INDEX(#REF!,MATCH(Таблица16[[#This Row],[Id key]],#REF!,0))</f>
        <v>#REF!</v>
      </c>
      <c r="E35" s="44">
        <v>2879.7809999999999</v>
      </c>
      <c r="F35" s="14"/>
      <c r="G35" s="14"/>
      <c r="H35" s="14"/>
      <c r="I35" s="18">
        <v>46086</v>
      </c>
      <c r="J35" s="31" t="s">
        <v>15</v>
      </c>
      <c r="K35" s="39" t="str">
        <f>CONCATENATE(Таблица16[[#This Row],[ТХ ]],"/",Таблица16[[#This Row],[Дата  составления  B\L речник]])</f>
        <v>т/х Астра Меридиан ИМО8721399/46086</v>
      </c>
      <c r="L35" s="18">
        <v>46106</v>
      </c>
    </row>
    <row r="36" spans="1:12" x14ac:dyDescent="0.25">
      <c r="A36" s="38" t="s">
        <v>100</v>
      </c>
      <c r="B36" s="5" t="s">
        <v>20</v>
      </c>
      <c r="C36" s="5" t="s">
        <v>129</v>
      </c>
      <c r="D36" s="9" t="e">
        <f>INDEX(#REF!,MATCH(Таблица16[[#This Row],[Id key]],#REF!,0))</f>
        <v>#REF!</v>
      </c>
      <c r="E36" s="44">
        <v>4350.0519999999997</v>
      </c>
      <c r="F36" s="14"/>
      <c r="G36" s="13">
        <v>46092.857638888891</v>
      </c>
      <c r="H36" s="13">
        <v>46093.090277777781</v>
      </c>
      <c r="I36" s="18">
        <v>46088</v>
      </c>
      <c r="J36" s="31" t="s">
        <v>15</v>
      </c>
      <c r="K36" s="39" t="str">
        <f>CONCATENATE(Таблица16[[#This Row],[ТХ ]],"/",Таблица16[[#This Row],[Дата  составления  B\L речник]])</f>
        <v>т/х Волго-Дон 5011 ИМО8951310/46088</v>
      </c>
      <c r="L36" s="18">
        <v>46094</v>
      </c>
    </row>
    <row r="37" spans="1:12" x14ac:dyDescent="0.25">
      <c r="A37" s="38" t="s">
        <v>26</v>
      </c>
      <c r="B37" s="5" t="s">
        <v>20</v>
      </c>
      <c r="C37" s="5" t="s">
        <v>129</v>
      </c>
      <c r="D37" s="9" t="e">
        <f>INDEX(#REF!,MATCH(Таблица16[[#This Row],[Id key]],#REF!,0))</f>
        <v>#REF!</v>
      </c>
      <c r="E37" s="44">
        <v>4600.24</v>
      </c>
      <c r="F37" s="14"/>
      <c r="G37" s="13">
        <v>46093.076388888891</v>
      </c>
      <c r="H37" s="13">
        <v>46093.302083333336</v>
      </c>
      <c r="I37" s="18">
        <v>46088</v>
      </c>
      <c r="J37" s="31" t="s">
        <v>15</v>
      </c>
      <c r="K37" s="39" t="str">
        <f>CONCATENATE(Таблица16[[#This Row],[ТХ ]],"/",Таблица16[[#This Row],[Дата  составления  B\L речник]])</f>
        <v>т/х В.Успенский   ИМО 8946389/46088</v>
      </c>
      <c r="L37" s="18">
        <v>46094</v>
      </c>
    </row>
    <row r="38" spans="1:12" x14ac:dyDescent="0.25">
      <c r="A38" s="38" t="s">
        <v>98</v>
      </c>
      <c r="B38" s="5" t="s">
        <v>20</v>
      </c>
      <c r="C38" s="5" t="s">
        <v>129</v>
      </c>
      <c r="D38" s="9" t="e">
        <f>INDEX(#REF!,MATCH(Таблица16[[#This Row],[Id key]],#REF!,0))</f>
        <v>#REF!</v>
      </c>
      <c r="E38" s="44">
        <v>3725.46</v>
      </c>
      <c r="F38" s="14"/>
      <c r="G38" s="13">
        <v>46092.708333333336</v>
      </c>
      <c r="H38" s="13">
        <v>46092.930555555555</v>
      </c>
      <c r="I38" s="18">
        <v>46089</v>
      </c>
      <c r="J38" s="31" t="s">
        <v>15</v>
      </c>
      <c r="K38" s="39" t="str">
        <f>CONCATENATE(Таблица16[[#This Row],[ТХ ]],"/",Таблица16[[#This Row],[Дата  составления  B\L речник]])</f>
        <v>т/х Святой Спиридон ИМО9087104/46089</v>
      </c>
      <c r="L38" s="18">
        <v>46094</v>
      </c>
    </row>
    <row r="39" spans="1:12" x14ac:dyDescent="0.25">
      <c r="A39" s="38" t="s">
        <v>7</v>
      </c>
      <c r="B39" s="5" t="s">
        <v>20</v>
      </c>
      <c r="C39" s="5" t="s">
        <v>129</v>
      </c>
      <c r="D39" s="9" t="e">
        <f>INDEX(#REF!,MATCH(Таблица16[[#This Row],[Id key]],#REF!,0))</f>
        <v>#REF!</v>
      </c>
      <c r="E39" s="44">
        <v>3235.3490000000002</v>
      </c>
      <c r="F39" s="14"/>
      <c r="G39" s="13">
        <v>46093.690972222219</v>
      </c>
      <c r="H39" s="14">
        <v>46094.003472222219</v>
      </c>
      <c r="I39" s="18">
        <v>46090</v>
      </c>
      <c r="J39" s="31" t="s">
        <v>15</v>
      </c>
      <c r="K39" s="39" t="str">
        <f>CONCATENATE(Таблица16[[#This Row],[ТХ ]],"/",Таблица16[[#This Row],[Дата  составления  B\L речник]])</f>
        <v>т/х Дон Стар 7 ИМО 8844153/46090</v>
      </c>
      <c r="L39" s="18">
        <v>46094</v>
      </c>
    </row>
    <row r="40" spans="1:12" x14ac:dyDescent="0.25">
      <c r="A40" s="38" t="s">
        <v>99</v>
      </c>
      <c r="B40" s="5" t="s">
        <v>20</v>
      </c>
      <c r="C40" s="5" t="s">
        <v>129</v>
      </c>
      <c r="D40" s="9" t="e">
        <f>INDEX(#REF!,MATCH(Таблица16[[#This Row],[Id key]],#REF!,0))</f>
        <v>#REF!</v>
      </c>
      <c r="E40" s="44">
        <v>2802.13</v>
      </c>
      <c r="F40" s="14"/>
      <c r="G40" s="14">
        <v>46093.84375</v>
      </c>
      <c r="H40" s="14">
        <v>46094.15625</v>
      </c>
      <c r="I40" s="18">
        <v>46090</v>
      </c>
      <c r="J40" s="31" t="s">
        <v>15</v>
      </c>
      <c r="K40" s="39" t="str">
        <f>CONCATENATE(Таблица16[[#This Row],[ТХ ]],"/",Таблица16[[#This Row],[Дата  составления  B\L речник]])</f>
        <v>т/х Дон 7111420/46090</v>
      </c>
      <c r="L40" s="18">
        <v>46106</v>
      </c>
    </row>
    <row r="41" spans="1:12" x14ac:dyDescent="0.25">
      <c r="A41" s="38" t="s">
        <v>5</v>
      </c>
      <c r="B41" s="5" t="s">
        <v>20</v>
      </c>
      <c r="C41" s="5" t="s">
        <v>128</v>
      </c>
      <c r="D41" s="9" t="e">
        <f>INDEX(#REF!,MATCH(Таблица16[[#This Row],[Id key]],#REF!,0))</f>
        <v>#REF!</v>
      </c>
      <c r="E41" s="46">
        <v>3301.9459999999999</v>
      </c>
      <c r="F41" s="14"/>
      <c r="G41" s="14"/>
      <c r="H41" s="14"/>
      <c r="I41" s="18">
        <v>46091</v>
      </c>
      <c r="J41" s="31" t="s">
        <v>15</v>
      </c>
      <c r="K41" s="39" t="str">
        <f>CONCATENATE(Таблица16[[#This Row],[ТХ ]],"/",Таблица16[[#This Row],[Дата  составления  B\L речник]])</f>
        <v>т/х Дон Стар 5 ИМО 8955469/46091</v>
      </c>
      <c r="L41" s="18">
        <v>46106</v>
      </c>
    </row>
    <row r="42" spans="1:12" x14ac:dyDescent="0.25">
      <c r="A42" s="38" t="s">
        <v>11</v>
      </c>
      <c r="B42" s="5" t="s">
        <v>20</v>
      </c>
      <c r="C42" s="5" t="s">
        <v>128</v>
      </c>
      <c r="D42" s="9" t="e">
        <f>INDEX(#REF!,MATCH(Таблица16[[#This Row],[Id key]],#REF!,0))</f>
        <v>#REF!</v>
      </c>
      <c r="E42" s="46">
        <v>4751.2169999999996</v>
      </c>
      <c r="F42" s="14"/>
      <c r="G42" s="14"/>
      <c r="H42" s="14"/>
      <c r="I42" s="18">
        <v>46091</v>
      </c>
      <c r="J42" s="31" t="s">
        <v>15</v>
      </c>
      <c r="K42" s="39" t="str">
        <f>CONCATENATE(Таблица16[[#This Row],[ТХ ]],"/",Таблица16[[#This Row],[Дата  составления  B\L речник]])</f>
        <v>Волго-Дон 5079 ИМО 8852784/46091</v>
      </c>
      <c r="L42" s="18">
        <v>46106</v>
      </c>
    </row>
    <row r="43" spans="1:12" x14ac:dyDescent="0.25">
      <c r="A43" s="43" t="s">
        <v>2</v>
      </c>
      <c r="B43" s="5" t="s">
        <v>20</v>
      </c>
      <c r="C43" s="5" t="s">
        <v>129</v>
      </c>
      <c r="D43" s="9" t="e">
        <f>INDEX(#REF!,MATCH(Таблица16[[#This Row],[Id key]],#REF!,0))</f>
        <v>#REF!</v>
      </c>
      <c r="E43" s="9">
        <v>4019.0479999999998</v>
      </c>
      <c r="F43" s="13"/>
      <c r="G43" s="13">
        <v>46097.666666666664</v>
      </c>
      <c r="H43" s="13">
        <v>46097.895833333336</v>
      </c>
      <c r="I43" s="18">
        <v>46093</v>
      </c>
      <c r="J43" s="40" t="s">
        <v>14</v>
      </c>
      <c r="K43" s="39" t="str">
        <f>CONCATENATE(Таблица16[[#This Row],[ТХ ]],"/",Таблица16[[#This Row],[Дата  составления  B\L речник]])</f>
        <v>т/х Дон Стар 2 ИМО 7911480/46093</v>
      </c>
      <c r="L43" s="18">
        <v>46106</v>
      </c>
    </row>
    <row r="44" spans="1:12" x14ac:dyDescent="0.25">
      <c r="A44" s="43" t="s">
        <v>4</v>
      </c>
      <c r="B44" s="5" t="s">
        <v>83</v>
      </c>
      <c r="C44" s="5" t="s">
        <v>129</v>
      </c>
      <c r="D44" s="9" t="e">
        <f>INDEX(#REF!,MATCH(Таблица16[[#This Row],[Id key]],#REF!,0))</f>
        <v>#REF!</v>
      </c>
      <c r="E44" s="8">
        <v>1287.9169999999999</v>
      </c>
      <c r="F44" s="13">
        <v>46094.125</v>
      </c>
      <c r="G44" s="13">
        <v>46097.875</v>
      </c>
      <c r="H44" s="13">
        <v>46098.048611111109</v>
      </c>
      <c r="I44" s="18">
        <v>46092</v>
      </c>
      <c r="J44" s="40" t="s">
        <v>14</v>
      </c>
      <c r="K44" s="39" t="str">
        <f>CONCATENATE(Таблица16[[#This Row],[ТХ ]],"/",Таблица16[[#This Row],[Дата  составления  B\L речник]])</f>
        <v>т/х Дон Стар 4 ИМО 7911478/46092</v>
      </c>
      <c r="L44" s="18">
        <v>46106</v>
      </c>
    </row>
    <row r="45" spans="1:12" x14ac:dyDescent="0.25">
      <c r="A45" s="43" t="s">
        <v>4</v>
      </c>
      <c r="B45" s="5" t="s">
        <v>83</v>
      </c>
      <c r="C45" s="5" t="s">
        <v>128</v>
      </c>
      <c r="D45" s="9" t="e">
        <f>INDEX(#REF!,MATCH(Таблица16[[#This Row],[Id key]],#REF!,0))</f>
        <v>#REF!</v>
      </c>
      <c r="E45" s="44">
        <v>2727.51</v>
      </c>
      <c r="F45" s="14">
        <v>46094.125</v>
      </c>
      <c r="G45" s="14">
        <v>46097.875</v>
      </c>
      <c r="H45" s="14">
        <v>46098.048611111109</v>
      </c>
      <c r="I45" s="18">
        <v>46092</v>
      </c>
      <c r="J45" s="31" t="s">
        <v>15</v>
      </c>
      <c r="K45" s="39" t="str">
        <f>CONCATENATE(Таблица16[[#This Row],[ТХ ]],"/",Таблица16[[#This Row],[Дата  составления  B\L речник]])</f>
        <v>т/х Дон Стар 4 ИМО 7911478/46092</v>
      </c>
      <c r="L45" s="18">
        <v>46106</v>
      </c>
    </row>
    <row r="46" spans="1:12" x14ac:dyDescent="0.25">
      <c r="A46" s="38" t="s">
        <v>114</v>
      </c>
      <c r="B46" s="5" t="s">
        <v>83</v>
      </c>
      <c r="C46" s="5" t="s">
        <v>129</v>
      </c>
      <c r="D46" s="9" t="e">
        <f>INDEX(#REF!,MATCH(Таблица16[[#This Row],[Id key]],#REF!,0))</f>
        <v>#REF!</v>
      </c>
      <c r="E46" s="9">
        <v>4610.7539999999999</v>
      </c>
      <c r="F46" s="14">
        <v>46098.479166666664</v>
      </c>
      <c r="G46" s="14">
        <v>46100.708333333336</v>
      </c>
      <c r="H46" s="14">
        <v>46101.114583333336</v>
      </c>
      <c r="I46" s="18">
        <v>46096</v>
      </c>
      <c r="J46" s="31" t="s">
        <v>14</v>
      </c>
      <c r="K46" s="39" t="str">
        <f>CONCATENATE(Таблица16[[#This Row],[ТХ ]],"/",Таблица16[[#This Row],[Дата  составления  B\L речник]])</f>
        <v>т/х Волго-Дон 5043 ИМО8866321/46096</v>
      </c>
      <c r="L46" s="18">
        <v>46106</v>
      </c>
    </row>
    <row r="47" spans="1:12" x14ac:dyDescent="0.25">
      <c r="A47" s="38" t="s">
        <v>99</v>
      </c>
      <c r="B47" s="5" t="s">
        <v>83</v>
      </c>
      <c r="C47" s="5" t="s">
        <v>129</v>
      </c>
      <c r="D47" s="9" t="e">
        <f>INDEX(#REF!,MATCH(Таблица16[[#This Row],[Id key]],#REF!,0))</f>
        <v>#REF!</v>
      </c>
      <c r="E47" s="9">
        <v>2800.1619999999998</v>
      </c>
      <c r="F47" s="14"/>
      <c r="G47" s="14">
        <v>46100.652777777781</v>
      </c>
      <c r="H47" s="14">
        <v>46100.850694444445</v>
      </c>
      <c r="I47" s="18">
        <v>46096</v>
      </c>
      <c r="J47" s="31" t="s">
        <v>14</v>
      </c>
      <c r="K47" s="39" t="str">
        <f>CONCATENATE(Таблица16[[#This Row],[ТХ ]],"/",Таблица16[[#This Row],[Дата  составления  B\L речник]])</f>
        <v>т/х Дон 7111420/46096</v>
      </c>
      <c r="L47" s="18">
        <v>46106</v>
      </c>
    </row>
    <row r="48" spans="1:12" x14ac:dyDescent="0.25">
      <c r="A48" s="38" t="s">
        <v>98</v>
      </c>
      <c r="B48" s="5" t="s">
        <v>83</v>
      </c>
      <c r="C48" s="5" t="s">
        <v>129</v>
      </c>
      <c r="D48" s="9" t="e">
        <f>INDEX(#REF!,MATCH(Таблица16[[#This Row],[Id key]],#REF!,0))</f>
        <v>#REF!</v>
      </c>
      <c r="E48" s="9">
        <v>3700.7159999999999</v>
      </c>
      <c r="F48" s="14">
        <v>46099.541666666664</v>
      </c>
      <c r="G48" s="14">
        <v>46101.604166666664</v>
      </c>
      <c r="H48" s="14">
        <v>46101.822916666664</v>
      </c>
      <c r="I48" s="18">
        <v>46098</v>
      </c>
      <c r="J48" s="31" t="s">
        <v>14</v>
      </c>
      <c r="K48" s="39" t="str">
        <f>CONCATENATE(Таблица16[[#This Row],[ТХ ]],"/",Таблица16[[#This Row],[Дата  составления  B\L речник]])</f>
        <v>т/х Святой Спиридон ИМО9087104/46098</v>
      </c>
      <c r="L48" s="18">
        <v>46106</v>
      </c>
    </row>
    <row r="49" spans="1:12" x14ac:dyDescent="0.25">
      <c r="A49" s="38" t="s">
        <v>11</v>
      </c>
      <c r="B49" s="5" t="s">
        <v>83</v>
      </c>
      <c r="C49" s="5" t="s">
        <v>129</v>
      </c>
      <c r="D49" s="9" t="e">
        <f>INDEX(#REF!,MATCH(Таблица16[[#This Row],[Id key]],#REF!,0))</f>
        <v>#REF!</v>
      </c>
      <c r="E49" s="9">
        <v>4756.9629999999997</v>
      </c>
      <c r="F49" s="14">
        <v>46101.215277777781</v>
      </c>
      <c r="G49" s="14">
        <v>46103.697916666664</v>
      </c>
      <c r="H49" s="14">
        <v>46103.979166666664</v>
      </c>
      <c r="I49" s="18">
        <v>46099</v>
      </c>
      <c r="J49" s="31" t="s">
        <v>14</v>
      </c>
      <c r="K49" s="39" t="str">
        <f>CONCATENATE(Таблица16[[#This Row],[ТХ ]],"/",Таблица16[[#This Row],[Дата  составления  B\L речник]])</f>
        <v>Волго-Дон 5079 ИМО 8852784/46099</v>
      </c>
      <c r="L49" s="18">
        <v>46106</v>
      </c>
    </row>
    <row r="50" spans="1:12" x14ac:dyDescent="0.25">
      <c r="A50" s="38" t="s">
        <v>26</v>
      </c>
      <c r="B50" s="5" t="s">
        <v>83</v>
      </c>
      <c r="C50" s="5" t="s">
        <v>129</v>
      </c>
      <c r="D50" s="9" t="e">
        <f>INDEX(#REF!,MATCH(Таблица16[[#This Row],[Id key]],#REF!,0))</f>
        <v>#REF!</v>
      </c>
      <c r="E50" s="9">
        <v>4680.1400000000003</v>
      </c>
      <c r="F50" s="14">
        <v>46101.833333333336</v>
      </c>
      <c r="G50" s="14">
        <v>46103.833333333336</v>
      </c>
      <c r="H50" s="14">
        <v>46104.194444444445</v>
      </c>
      <c r="I50" s="18">
        <v>46100</v>
      </c>
      <c r="J50" s="31" t="s">
        <v>14</v>
      </c>
      <c r="K50" s="39" t="str">
        <f>CONCATENATE(Таблица16[[#This Row],[ТХ ]],"/",Таблица16[[#This Row],[Дата  составления  B\L речник]])</f>
        <v>т/х В.Успенский   ИМО 8946389/46100</v>
      </c>
      <c r="L50" s="18">
        <v>46106</v>
      </c>
    </row>
    <row r="51" spans="1:12" x14ac:dyDescent="0.25">
      <c r="A51" s="38" t="s">
        <v>115</v>
      </c>
      <c r="B51" s="5" t="s">
        <v>83</v>
      </c>
      <c r="C51" s="5" t="s">
        <v>129</v>
      </c>
      <c r="D51" s="9" t="e">
        <f>INDEX(#REF!,MATCH(Таблица16[[#This Row],[Id key]],#REF!,0))</f>
        <v>#REF!</v>
      </c>
      <c r="E51" s="9">
        <v>1971.59</v>
      </c>
      <c r="F51" s="14">
        <v>46102.479166666664</v>
      </c>
      <c r="G51" s="14">
        <v>46104.659722222219</v>
      </c>
      <c r="H51" s="14">
        <v>46106.659722222219</v>
      </c>
      <c r="I51" s="18">
        <v>46101</v>
      </c>
      <c r="J51" s="31" t="s">
        <v>14</v>
      </c>
      <c r="K51" s="39" t="str">
        <f>CONCATENATE(Таблица16[[#This Row],[ТХ ]],"/",Таблица16[[#This Row],[Дата  составления  B\L речник]])</f>
        <v>т/х Абрамцево ИМО8947955/46101</v>
      </c>
      <c r="L51" s="18">
        <v>46106</v>
      </c>
    </row>
    <row r="52" spans="1:12" x14ac:dyDescent="0.25">
      <c r="A52" s="38" t="s">
        <v>5</v>
      </c>
      <c r="B52" s="5" t="s">
        <v>83</v>
      </c>
      <c r="C52" s="5" t="s">
        <v>129</v>
      </c>
      <c r="D52" s="9" t="e">
        <f>INDEX(#REF!,MATCH(Таблица16[[#This Row],[Id key]],#REF!,0))</f>
        <v>#REF!</v>
      </c>
      <c r="E52" s="9">
        <v>2803.48</v>
      </c>
      <c r="F52" s="14">
        <v>46104.680555555555</v>
      </c>
      <c r="G52" s="14">
        <v>46106.486111111109</v>
      </c>
      <c r="H52" s="14">
        <v>46106.770833333336</v>
      </c>
      <c r="I52" s="18">
        <v>46103</v>
      </c>
      <c r="J52" s="31" t="s">
        <v>14</v>
      </c>
      <c r="K52" s="39" t="str">
        <f>CONCATENATE(Таблица16[[#This Row],[ТХ ]],"/",Таблица16[[#This Row],[Дата  составления  B\L речник]])</f>
        <v>т/х Дон Стар 5 ИМО 8955469/46103</v>
      </c>
      <c r="L52" s="18">
        <v>46107</v>
      </c>
    </row>
    <row r="53" spans="1:12" x14ac:dyDescent="0.25">
      <c r="A53" s="38" t="s">
        <v>7</v>
      </c>
      <c r="B53" s="5" t="s">
        <v>83</v>
      </c>
      <c r="C53" s="5" t="s">
        <v>129</v>
      </c>
      <c r="D53" s="9" t="e">
        <f>INDEX(#REF!,MATCH(Таблица16[[#This Row],[Id key]],#REF!,0))</f>
        <v>#REF!</v>
      </c>
      <c r="E53" s="9">
        <v>3207.54</v>
      </c>
      <c r="F53" s="14">
        <v>46104.979166666664</v>
      </c>
      <c r="G53" s="14">
        <v>46106.875</v>
      </c>
      <c r="H53" s="14">
        <v>46107.118055555555</v>
      </c>
      <c r="I53" s="18">
        <v>46102</v>
      </c>
      <c r="J53" s="31" t="s">
        <v>14</v>
      </c>
      <c r="K53" s="39" t="str">
        <f>CONCATENATE(Таблица16[[#This Row],[ТХ ]],"/",Таблица16[[#This Row],[Дата  составления  B\L речник]])</f>
        <v>т/х Дон Стар 7 ИМО 8844153/46102</v>
      </c>
      <c r="L53" s="18">
        <v>46107</v>
      </c>
    </row>
    <row r="54" spans="1:12" x14ac:dyDescent="0.25">
      <c r="A54" s="38" t="s">
        <v>131</v>
      </c>
      <c r="B54" s="5" t="s">
        <v>83</v>
      </c>
      <c r="C54" s="5" t="s">
        <v>129</v>
      </c>
      <c r="D54" s="9" t="e">
        <f>INDEX(#REF!,MATCH(Таблица16[[#This Row],[Id key]],#REF!,0))</f>
        <v>#REF!</v>
      </c>
      <c r="E54" s="9">
        <v>5019.62</v>
      </c>
      <c r="F54" s="14">
        <v>46106.229166666664</v>
      </c>
      <c r="G54" s="14">
        <v>46108.006944444445</v>
      </c>
      <c r="H54" s="14">
        <v>46108.451388888891</v>
      </c>
      <c r="I54" s="18">
        <v>46104</v>
      </c>
      <c r="J54" s="31" t="s">
        <v>14</v>
      </c>
      <c r="K54" s="39" t="str">
        <f>CONCATENATE(Таблица16[[#This Row],[ТХ ]],"/",Таблица16[[#This Row],[Дата  составления  B\L речник]])</f>
        <v>т/х Соммерс ИМО7111420/46104</v>
      </c>
      <c r="L54" s="18">
        <v>46108</v>
      </c>
    </row>
    <row r="55" spans="1:12" x14ac:dyDescent="0.25">
      <c r="A55" s="38" t="s">
        <v>99</v>
      </c>
      <c r="B55" s="5" t="s">
        <v>83</v>
      </c>
      <c r="C55" s="5" t="s">
        <v>129</v>
      </c>
      <c r="D55" s="9" t="e">
        <f>INDEX(#REF!,MATCH(Таблица16[[#This Row],[Id key]],#REF!,0))</f>
        <v>#REF!</v>
      </c>
      <c r="E55" s="9">
        <v>2812.44</v>
      </c>
      <c r="F55" s="14">
        <v>46107.145833333336</v>
      </c>
      <c r="G55" s="14">
        <v>46109.736111111109</v>
      </c>
      <c r="H55" s="14">
        <v>46110.934027777781</v>
      </c>
      <c r="I55" s="18">
        <v>46106</v>
      </c>
      <c r="J55" s="31" t="s">
        <v>14</v>
      </c>
      <c r="K55" s="39" t="str">
        <f>CONCATENATE(Таблица16[[#This Row],[ТХ ]],"/",Таблица16[[#This Row],[Дата  составления  B\L речник]])</f>
        <v>т/х Дон 7111420/46106</v>
      </c>
      <c r="L55" s="18">
        <v>46111</v>
      </c>
    </row>
    <row r="56" spans="1:12" x14ac:dyDescent="0.25">
      <c r="A56" s="38" t="s">
        <v>98</v>
      </c>
      <c r="B56" s="5" t="s">
        <v>83</v>
      </c>
      <c r="C56" s="5" t="s">
        <v>129</v>
      </c>
      <c r="D56" s="9" t="e">
        <f>INDEX(#REF!,MATCH(Таблица16[[#This Row],[Id key]],#REF!,0))</f>
        <v>#REF!</v>
      </c>
      <c r="E56" s="9">
        <v>3668.1</v>
      </c>
      <c r="F56" s="14"/>
      <c r="G56" s="14"/>
      <c r="H56" s="14"/>
      <c r="I56" s="18">
        <v>46109</v>
      </c>
      <c r="J56" s="31" t="s">
        <v>14</v>
      </c>
      <c r="K56" s="39" t="str">
        <f>CONCATENATE(Таблица16[[#This Row],[ТХ ]],"/",Таблица16[[#This Row],[Дата  составления  B\L речник]])</f>
        <v>т/х Святой Спиридон ИМО9087104/46109</v>
      </c>
      <c r="L56" s="18">
        <v>46114</v>
      </c>
    </row>
    <row r="57" spans="1:12" x14ac:dyDescent="0.25">
      <c r="A57" s="38" t="s">
        <v>132</v>
      </c>
      <c r="B57" s="5" t="s">
        <v>83</v>
      </c>
      <c r="C57" s="5" t="s">
        <v>129</v>
      </c>
      <c r="D57" s="9" t="e">
        <f>INDEX(#REF!,MATCH(Таблица16[[#This Row],[Id key]],#REF!,0))</f>
        <v>#REF!</v>
      </c>
      <c r="E57" s="9">
        <v>3761.5230000000001</v>
      </c>
      <c r="F57" s="14"/>
      <c r="G57" s="14"/>
      <c r="H57" s="14"/>
      <c r="I57" s="18">
        <v>46108</v>
      </c>
      <c r="J57" s="31" t="s">
        <v>14</v>
      </c>
      <c r="K57" s="39" t="str">
        <f>CONCATENATE(Таблица16[[#This Row],[ТХ ]],"/",Таблица16[[#This Row],[Дата  составления  B\L речник]])</f>
        <v>т/х Линда1 ИМО8951334/46108</v>
      </c>
      <c r="L57" s="18">
        <v>46118</v>
      </c>
    </row>
    <row r="58" spans="1:12" x14ac:dyDescent="0.25">
      <c r="A58" s="38" t="s">
        <v>132</v>
      </c>
      <c r="B58" s="5" t="s">
        <v>83</v>
      </c>
      <c r="C58" s="5" t="s">
        <v>129</v>
      </c>
      <c r="D58" s="9" t="e">
        <f>INDEX(#REF!,MATCH(Таблица16[[#This Row],[Id key]],#REF!,0))</f>
        <v>#REF!</v>
      </c>
      <c r="E58" s="9">
        <v>819.62099999999998</v>
      </c>
      <c r="F58" s="14"/>
      <c r="G58" s="14"/>
      <c r="H58" s="14"/>
      <c r="I58" s="18">
        <v>46110</v>
      </c>
      <c r="J58" s="31" t="s">
        <v>14</v>
      </c>
      <c r="K58" s="39" t="str">
        <f>CONCATENATE(Таблица16[[#This Row],[ТХ ]],"/",Таблица16[[#This Row],[Дата  составления  B\L речник]])</f>
        <v>т/х Линда1 ИМО8951334/46110</v>
      </c>
      <c r="L58" s="18">
        <v>46118</v>
      </c>
    </row>
    <row r="59" spans="1:12" x14ac:dyDescent="0.25">
      <c r="A59" s="38" t="s">
        <v>133</v>
      </c>
      <c r="B59" s="5" t="s">
        <v>83</v>
      </c>
      <c r="C59" s="5" t="s">
        <v>128</v>
      </c>
      <c r="D59" s="9" t="e">
        <f>INDEX(#REF!,MATCH(Таблица16[[#This Row],[Id key]],#REF!,0))</f>
        <v>#REF!</v>
      </c>
      <c r="E59" s="9">
        <v>4800</v>
      </c>
      <c r="F59" s="14"/>
      <c r="G59" s="14"/>
      <c r="H59" s="14"/>
      <c r="I59" s="18">
        <v>46113</v>
      </c>
      <c r="J59" s="31"/>
      <c r="K59" s="39" t="str">
        <f>CONCATENATE(Таблица16[[#This Row],[ТХ ]],"/",Таблица16[[#This Row],[Дата  составления  B\L речник]])</f>
        <v>т/х Волго-Дон219 ИМО8959207/46113</v>
      </c>
      <c r="L59" s="18">
        <v>46118</v>
      </c>
    </row>
    <row r="60" spans="1:12" x14ac:dyDescent="0.25">
      <c r="A60" s="38" t="s">
        <v>2</v>
      </c>
      <c r="B60" s="5" t="s">
        <v>83</v>
      </c>
      <c r="C60" s="5" t="s">
        <v>128</v>
      </c>
      <c r="D60" s="9" t="e">
        <f>INDEX(#REF!,MATCH(Таблица16[[#This Row],[Id key]],#REF!,0))</f>
        <v>#REF!</v>
      </c>
      <c r="E60" s="9">
        <v>4053.0749999999998</v>
      </c>
      <c r="F60" s="14"/>
      <c r="G60" s="14"/>
      <c r="H60" s="14"/>
      <c r="I60" s="18">
        <v>46114</v>
      </c>
      <c r="J60" s="31"/>
      <c r="K60" s="39" t="str">
        <f>CONCATENATE(Таблица16[[#This Row],[ТХ ]],"/",Таблица16[[#This Row],[Дата  составления  B\L речник]])</f>
        <v>т/х Дон Стар 2 ИМО 7911480/46114</v>
      </c>
      <c r="L60" s="18">
        <v>46118</v>
      </c>
    </row>
    <row r="61" spans="1:12" x14ac:dyDescent="0.25">
      <c r="G61" t="s">
        <v>52</v>
      </c>
    </row>
    <row r="64" spans="1:12" x14ac:dyDescent="0.25">
      <c r="E64" t="s">
        <v>51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Список!$C$1:$C$15</xm:f>
          </x14:formula1>
          <xm:sqref>A8:A16</xm:sqref>
        </x14:dataValidation>
        <x14:dataValidation type="list" allowBlank="1" showInputMessage="1" showErrorMessage="1">
          <x14:formula1>
            <xm:f>Список!$G$1:$G$2</xm:f>
          </x14:formula1>
          <xm:sqref>J8:J13</xm:sqref>
        </x14:dataValidation>
        <x14:dataValidation type="list" allowBlank="1" showInputMessage="1" showErrorMessage="1">
          <x14:formula1>
            <xm:f>Список!$C$1:$C$21</xm:f>
          </x14:formula1>
          <xm:sqref>A63:A1048576 A17:A53</xm:sqref>
        </x14:dataValidation>
        <x14:dataValidation type="list" allowBlank="1" showInputMessage="1" showErrorMessage="1">
          <x14:formula1>
            <xm:f>Список!$C$1:$C$29</xm:f>
          </x14:formula1>
          <xm:sqref>A54:A60</xm:sqref>
        </x14:dataValidation>
        <x14:dataValidation type="list" allowBlank="1" showInputMessage="1" showErrorMessage="1">
          <x14:formula1>
            <xm:f>Список!$F$1:$F$5</xm:f>
          </x14:formula1>
          <xm:sqref>B8:B1048576</xm:sqref>
        </x14:dataValidation>
        <x14:dataValidation type="list" allowBlank="1" showInputMessage="1" showErrorMessage="1">
          <x14:formula1>
            <xm:f>Список!$H$1:$H$2</xm:f>
          </x14:formula1>
          <xm:sqref>C8:C1048576</xm:sqref>
        </x14:dataValidation>
        <x14:dataValidation type="list" allowBlank="1" showInputMessage="1" showErrorMessage="1">
          <x14:formula1>
            <xm:f>Список!$G$1:$G$5</xm:f>
          </x14:formula1>
          <xm:sqref>J14:J1048576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B64"/>
  <sheetViews>
    <sheetView zoomScale="110" zoomScaleNormal="110" workbookViewId="0">
      <pane xSplit="1" ySplit="7" topLeftCell="D49" activePane="bottomRight" state="frozen"/>
      <selection pane="topRight" activeCell="B1" sqref="B1"/>
      <selection pane="bottomLeft" activeCell="A7" sqref="A7"/>
      <selection pane="bottomRight" activeCell="E69" sqref="E68:E69"/>
    </sheetView>
  </sheetViews>
  <sheetFormatPr defaultRowHeight="15" x14ac:dyDescent="0.25"/>
  <cols>
    <col min="1" max="1" width="33.140625" customWidth="1"/>
    <col min="2" max="2" width="21.42578125" customWidth="1"/>
    <col min="3" max="3" width="29.28515625" customWidth="1"/>
    <col min="4" max="4" width="23.85546875" style="10" customWidth="1"/>
    <col min="5" max="5" width="26.140625" customWidth="1"/>
    <col min="6" max="6" width="19.140625" customWidth="1"/>
    <col min="7" max="7" width="17.28515625" customWidth="1"/>
    <col min="8" max="8" width="26.42578125" style="10" customWidth="1"/>
    <col min="9" max="9" width="20.28515625" customWidth="1"/>
    <col min="10" max="10" width="40.140625" style="10" customWidth="1"/>
    <col min="11" max="11" width="40.5703125" style="10" customWidth="1"/>
    <col min="12" max="12" width="30" style="10" customWidth="1"/>
    <col min="13" max="13" width="19.42578125" style="27" customWidth="1"/>
    <col min="14" max="14" width="19.42578125" customWidth="1"/>
    <col min="15" max="15" width="13.7109375" customWidth="1"/>
    <col min="17" max="17" width="17.7109375" style="15" bestFit="1" customWidth="1"/>
    <col min="18" max="18" width="24" style="15" customWidth="1"/>
    <col min="19" max="19" width="17.42578125" style="15" customWidth="1"/>
    <col min="21" max="23" width="17" style="10" customWidth="1"/>
    <col min="24" max="24" width="19.28515625" style="10" customWidth="1"/>
    <col min="25" max="25" width="19.5703125" style="10" customWidth="1"/>
    <col min="26" max="26" width="39" customWidth="1"/>
    <col min="27" max="27" width="22.28515625" customWidth="1"/>
    <col min="28" max="28" width="21.42578125" style="20" customWidth="1"/>
    <col min="29" max="29" width="21.140625" customWidth="1"/>
  </cols>
  <sheetData>
    <row r="1" spans="1:28" x14ac:dyDescent="0.25">
      <c r="B1" s="21"/>
      <c r="C1" s="21"/>
      <c r="E1" s="1"/>
      <c r="F1" s="15"/>
      <c r="G1" s="15"/>
      <c r="H1" s="1"/>
      <c r="I1" s="1"/>
      <c r="J1"/>
      <c r="K1"/>
      <c r="L1"/>
      <c r="Q1"/>
      <c r="R1"/>
      <c r="S1"/>
      <c r="U1"/>
      <c r="V1"/>
      <c r="W1"/>
      <c r="X1"/>
      <c r="Y1"/>
      <c r="AB1"/>
    </row>
    <row r="2" spans="1:28" x14ac:dyDescent="0.25">
      <c r="B2" s="21"/>
      <c r="C2" s="21"/>
      <c r="E2" s="1"/>
      <c r="F2" s="15"/>
      <c r="G2" s="15"/>
      <c r="H2" s="1"/>
      <c r="I2" s="1"/>
      <c r="J2"/>
      <c r="K2"/>
      <c r="L2"/>
      <c r="Q2"/>
      <c r="R2"/>
      <c r="S2"/>
      <c r="U2"/>
      <c r="V2"/>
      <c r="W2"/>
      <c r="X2"/>
      <c r="Y2"/>
      <c r="AB2"/>
    </row>
    <row r="3" spans="1:28" x14ac:dyDescent="0.25">
      <c r="B3" s="21"/>
      <c r="C3" s="21"/>
      <c r="E3" s="1"/>
      <c r="F3" s="15"/>
      <c r="G3" s="15"/>
      <c r="H3" s="1"/>
      <c r="I3" s="1"/>
      <c r="J3"/>
      <c r="K3"/>
      <c r="L3"/>
      <c r="Q3"/>
      <c r="R3"/>
      <c r="S3"/>
      <c r="U3"/>
      <c r="V3"/>
      <c r="W3"/>
      <c r="X3"/>
      <c r="Y3"/>
      <c r="AB3"/>
    </row>
    <row r="4" spans="1:28" x14ac:dyDescent="0.25">
      <c r="B4" s="21"/>
      <c r="C4" s="21"/>
      <c r="E4" s="1"/>
      <c r="F4" s="15"/>
      <c r="G4" s="15"/>
      <c r="H4" s="1"/>
      <c r="I4" s="1"/>
      <c r="J4"/>
      <c r="K4"/>
      <c r="L4"/>
      <c r="Q4"/>
      <c r="R4"/>
      <c r="S4"/>
      <c r="U4"/>
      <c r="V4"/>
      <c r="W4"/>
      <c r="X4"/>
      <c r="Y4"/>
      <c r="AB4"/>
    </row>
    <row r="5" spans="1:28" x14ac:dyDescent="0.25">
      <c r="B5" s="21"/>
      <c r="C5" s="21"/>
      <c r="E5" s="1"/>
      <c r="F5" s="15"/>
      <c r="G5" s="15"/>
      <c r="H5" s="1"/>
      <c r="I5" s="1"/>
      <c r="J5"/>
      <c r="K5"/>
      <c r="L5"/>
      <c r="Q5"/>
      <c r="R5"/>
      <c r="S5"/>
      <c r="U5"/>
      <c r="V5"/>
      <c r="W5"/>
      <c r="X5"/>
      <c r="Y5"/>
      <c r="AB5"/>
    </row>
    <row r="6" spans="1:28" ht="34.15" customHeight="1" x14ac:dyDescent="0.25">
      <c r="B6" s="21"/>
      <c r="C6" s="21"/>
      <c r="D6" s="22">
        <f>SUBTOTAL(9,D8:D1048576)</f>
        <v>172459.02899999998</v>
      </c>
      <c r="E6" s="1"/>
      <c r="F6" s="15"/>
      <c r="G6" s="15"/>
      <c r="H6" s="1"/>
      <c r="I6" s="1"/>
      <c r="J6"/>
      <c r="K6"/>
      <c r="L6"/>
      <c r="Q6"/>
      <c r="R6"/>
      <c r="S6"/>
      <c r="U6"/>
      <c r="V6"/>
      <c r="W6"/>
      <c r="X6"/>
      <c r="Y6"/>
      <c r="AB6"/>
    </row>
    <row r="7" spans="1:28" ht="43.9" customHeight="1" x14ac:dyDescent="0.25">
      <c r="A7" s="2" t="s">
        <v>0</v>
      </c>
      <c r="B7" s="3" t="s">
        <v>41</v>
      </c>
      <c r="C7" s="3" t="s">
        <v>42</v>
      </c>
      <c r="D7" s="11" t="s">
        <v>60</v>
      </c>
      <c r="E7" s="16" t="s">
        <v>24</v>
      </c>
      <c r="F7" s="12" t="s">
        <v>17</v>
      </c>
      <c r="G7" s="12" t="s">
        <v>18</v>
      </c>
      <c r="H7" s="16" t="s">
        <v>66</v>
      </c>
      <c r="I7" s="16" t="s">
        <v>67</v>
      </c>
      <c r="J7" s="3" t="s">
        <v>21</v>
      </c>
      <c r="K7" s="3" t="s">
        <v>38</v>
      </c>
      <c r="L7" s="24" t="s">
        <v>40</v>
      </c>
      <c r="M7" s="36" t="s">
        <v>84</v>
      </c>
      <c r="N7" s="37" t="s">
        <v>85</v>
      </c>
      <c r="O7" s="34" t="s">
        <v>86</v>
      </c>
      <c r="Q7"/>
      <c r="R7"/>
      <c r="S7"/>
      <c r="U7"/>
      <c r="V7"/>
      <c r="W7"/>
      <c r="X7"/>
      <c r="Y7"/>
      <c r="AB7"/>
    </row>
    <row r="8" spans="1:28" x14ac:dyDescent="0.25">
      <c r="A8" s="4" t="s">
        <v>11</v>
      </c>
      <c r="B8" s="5" t="s">
        <v>20</v>
      </c>
      <c r="C8" s="5" t="s">
        <v>129</v>
      </c>
      <c r="D8" s="9">
        <v>4542.4059999999999</v>
      </c>
      <c r="E8" s="18" t="s">
        <v>14</v>
      </c>
      <c r="F8" s="14">
        <v>46047.75</v>
      </c>
      <c r="G8" s="14">
        <v>46048.815972222219</v>
      </c>
      <c r="H8" s="18" t="s">
        <v>59</v>
      </c>
      <c r="I8" s="18">
        <v>46048</v>
      </c>
      <c r="J8" s="6" t="s">
        <v>22</v>
      </c>
      <c r="K8" s="6" t="s">
        <v>61</v>
      </c>
      <c r="L8" s="17">
        <v>46051</v>
      </c>
      <c r="M8" s="28">
        <f>_xlfn.ISOWEEKNUM(Таблица163[[#This Row],[Дата  составления  B\L Морского Судна]])</f>
        <v>5</v>
      </c>
      <c r="N8" s="35" t="str">
        <f>TEXT(Таблица163[[#This Row],[Дата  составления  B\L Морского Судна]],"МММ")</f>
        <v>янв</v>
      </c>
      <c r="O8" s="28">
        <f>YEAR(Таблица163[[#This Row],[Дата  составления  B\L Морского Судна]])</f>
        <v>2026</v>
      </c>
      <c r="P8" s="10"/>
      <c r="Q8"/>
      <c r="R8"/>
      <c r="S8" s="20"/>
      <c r="U8"/>
      <c r="V8"/>
      <c r="W8"/>
      <c r="X8"/>
      <c r="Y8"/>
      <c r="AB8"/>
    </row>
    <row r="9" spans="1:28" x14ac:dyDescent="0.25">
      <c r="A9" s="4" t="s">
        <v>2</v>
      </c>
      <c r="B9" s="5" t="s">
        <v>20</v>
      </c>
      <c r="C9" s="5" t="s">
        <v>129</v>
      </c>
      <c r="D9" s="9">
        <v>4011.3440000000001</v>
      </c>
      <c r="E9" s="18" t="s">
        <v>14</v>
      </c>
      <c r="F9" s="14">
        <v>46047.75</v>
      </c>
      <c r="G9" s="14">
        <v>46048.815972222219</v>
      </c>
      <c r="H9" s="18" t="s">
        <v>59</v>
      </c>
      <c r="I9" s="18">
        <v>46048</v>
      </c>
      <c r="J9" s="6" t="s">
        <v>22</v>
      </c>
      <c r="K9" s="6" t="s">
        <v>62</v>
      </c>
      <c r="L9" s="17">
        <v>46051</v>
      </c>
      <c r="M9" s="28">
        <f>_xlfn.ISOWEEKNUM(Таблица163[[#This Row],[Дата  составления  B\L Морского Судна]])</f>
        <v>5</v>
      </c>
      <c r="N9" s="35" t="str">
        <f>TEXT(Таблица163[[#This Row],[Дата  составления  B\L Морского Судна]],"МММ")</f>
        <v>янв</v>
      </c>
      <c r="O9" s="28">
        <f>YEAR(Таблица163[[#This Row],[Дата  составления  B\L Морского Судна]])</f>
        <v>2026</v>
      </c>
      <c r="P9" s="10"/>
      <c r="Q9"/>
      <c r="R9"/>
      <c r="S9" s="20"/>
      <c r="U9"/>
      <c r="V9"/>
      <c r="W9"/>
      <c r="X9"/>
      <c r="Y9"/>
      <c r="AB9"/>
    </row>
    <row r="10" spans="1:28" x14ac:dyDescent="0.25">
      <c r="A10" s="4" t="s">
        <v>26</v>
      </c>
      <c r="B10" s="5" t="s">
        <v>20</v>
      </c>
      <c r="C10" s="5" t="s">
        <v>129</v>
      </c>
      <c r="D10" s="9">
        <v>4159.9269999999997</v>
      </c>
      <c r="E10" s="18" t="s">
        <v>14</v>
      </c>
      <c r="F10" s="14">
        <v>46047.75</v>
      </c>
      <c r="G10" s="14">
        <v>46048.815972222219</v>
      </c>
      <c r="H10" s="18" t="s">
        <v>59</v>
      </c>
      <c r="I10" s="18">
        <v>46048</v>
      </c>
      <c r="J10" s="6" t="s">
        <v>22</v>
      </c>
      <c r="K10" s="6" t="s">
        <v>63</v>
      </c>
      <c r="L10" s="17">
        <v>46051</v>
      </c>
      <c r="M10" s="28">
        <f>_xlfn.ISOWEEKNUM(Таблица163[[#This Row],[Дата  составления  B\L Морского Судна]])</f>
        <v>5</v>
      </c>
      <c r="N10" s="35" t="str">
        <f>TEXT(Таблица163[[#This Row],[Дата  составления  B\L Морского Судна]],"МММ")</f>
        <v>янв</v>
      </c>
      <c r="O10" s="28">
        <f>YEAR(Таблица163[[#This Row],[Дата  составления  B\L Морского Судна]])</f>
        <v>2026</v>
      </c>
      <c r="P10" s="10"/>
      <c r="Q10"/>
      <c r="R10"/>
      <c r="S10" s="20"/>
      <c r="U10"/>
      <c r="V10"/>
      <c r="W10"/>
      <c r="X10"/>
      <c r="Y10"/>
      <c r="AB10"/>
    </row>
    <row r="11" spans="1:28" x14ac:dyDescent="0.25">
      <c r="A11" s="4" t="s">
        <v>4</v>
      </c>
      <c r="B11" s="5" t="s">
        <v>20</v>
      </c>
      <c r="C11" s="5" t="s">
        <v>129</v>
      </c>
      <c r="D11" s="9">
        <v>3398.27</v>
      </c>
      <c r="E11" s="18" t="s">
        <v>14</v>
      </c>
      <c r="F11" s="14">
        <v>46047.75</v>
      </c>
      <c r="G11" s="14">
        <v>46048.815972222219</v>
      </c>
      <c r="H11" s="18" t="s">
        <v>59</v>
      </c>
      <c r="I11" s="18">
        <v>46048</v>
      </c>
      <c r="J11" s="6" t="s">
        <v>22</v>
      </c>
      <c r="K11" s="6" t="s">
        <v>64</v>
      </c>
      <c r="L11" s="17">
        <v>46051</v>
      </c>
      <c r="M11" s="28">
        <f>_xlfn.ISOWEEKNUM(Таблица163[[#This Row],[Дата  составления  B\L Морского Судна]])</f>
        <v>5</v>
      </c>
      <c r="N11" s="35" t="str">
        <f>TEXT(Таблица163[[#This Row],[Дата  составления  B\L Морского Судна]],"МММ")</f>
        <v>янв</v>
      </c>
      <c r="O11" s="28">
        <f>YEAR(Таблица163[[#This Row],[Дата  составления  B\L Морского Судна]])</f>
        <v>2026</v>
      </c>
      <c r="P11" s="10"/>
      <c r="Q11"/>
      <c r="R11"/>
      <c r="S11" s="20"/>
      <c r="U11"/>
      <c r="V11"/>
      <c r="W11"/>
      <c r="X11"/>
      <c r="Y11"/>
      <c r="AB11"/>
    </row>
    <row r="12" spans="1:28" x14ac:dyDescent="0.25">
      <c r="A12" s="4" t="s">
        <v>1</v>
      </c>
      <c r="B12" s="5" t="s">
        <v>20</v>
      </c>
      <c r="C12" s="5" t="s">
        <v>129</v>
      </c>
      <c r="D12" s="9">
        <v>616.60400000000004</v>
      </c>
      <c r="E12" s="18" t="s">
        <v>14</v>
      </c>
      <c r="F12" s="14">
        <v>46047.75</v>
      </c>
      <c r="G12" s="14">
        <v>46048.815972222219</v>
      </c>
      <c r="H12" s="18" t="s">
        <v>59</v>
      </c>
      <c r="I12" s="18">
        <v>46048</v>
      </c>
      <c r="J12" s="6" t="s">
        <v>22</v>
      </c>
      <c r="K12" s="6" t="s">
        <v>65</v>
      </c>
      <c r="L12" s="17">
        <v>46051</v>
      </c>
      <c r="M12" s="28">
        <f>_xlfn.ISOWEEKNUM(Таблица163[[#This Row],[Дата  составления  B\L Морского Судна]])</f>
        <v>5</v>
      </c>
      <c r="N12" s="35" t="str">
        <f>TEXT(Таблица163[[#This Row],[Дата  составления  B\L Морского Судна]],"МММ")</f>
        <v>янв</v>
      </c>
      <c r="O12" s="28">
        <f>YEAR(Таблица163[[#This Row],[Дата  составления  B\L Морского Судна]])</f>
        <v>2026</v>
      </c>
      <c r="P12" s="10"/>
      <c r="Q12"/>
      <c r="R12"/>
      <c r="S12" s="20"/>
      <c r="U12"/>
      <c r="V12"/>
      <c r="W12"/>
      <c r="X12"/>
      <c r="Y12"/>
      <c r="AB12"/>
    </row>
    <row r="13" spans="1:28" x14ac:dyDescent="0.25">
      <c r="A13" s="4" t="s">
        <v>11</v>
      </c>
      <c r="B13" s="5" t="s">
        <v>20</v>
      </c>
      <c r="C13" s="5" t="s">
        <v>129</v>
      </c>
      <c r="D13" s="9">
        <v>266.22899999999998</v>
      </c>
      <c r="E13" s="18" t="s">
        <v>15</v>
      </c>
      <c r="F13" s="14">
        <v>46046.104166666664</v>
      </c>
      <c r="G13" s="14"/>
      <c r="H13" s="18" t="s">
        <v>69</v>
      </c>
      <c r="I13" s="18">
        <v>46048</v>
      </c>
      <c r="J13" s="6" t="s">
        <v>22</v>
      </c>
      <c r="K13" s="6" t="s">
        <v>68</v>
      </c>
      <c r="L13" s="17">
        <v>46051</v>
      </c>
      <c r="M13" s="28">
        <f>_xlfn.ISOWEEKNUM(Таблица163[[#This Row],[Дата  составления  B\L Морского Судна]])</f>
        <v>5</v>
      </c>
      <c r="N13" s="35" t="str">
        <f>TEXT(Таблица163[[#This Row],[Дата  составления  B\L Морского Судна]],"МММ")</f>
        <v>янв</v>
      </c>
      <c r="O13" s="28">
        <f>YEAR(Таблица163[[#This Row],[Дата  составления  B\L Морского Судна]])</f>
        <v>2026</v>
      </c>
      <c r="P13" s="10"/>
      <c r="Q13"/>
      <c r="R13"/>
      <c r="S13" s="20"/>
      <c r="U13"/>
      <c r="V13"/>
      <c r="W13"/>
      <c r="X13"/>
      <c r="Y13"/>
      <c r="AB13"/>
    </row>
    <row r="14" spans="1:28" x14ac:dyDescent="0.25">
      <c r="A14" s="4" t="s">
        <v>7</v>
      </c>
      <c r="B14" s="5" t="s">
        <v>20</v>
      </c>
      <c r="C14" s="5" t="s">
        <v>129</v>
      </c>
      <c r="D14" s="9">
        <v>3214.2060000000001</v>
      </c>
      <c r="E14" s="18" t="s">
        <v>15</v>
      </c>
      <c r="F14" s="14">
        <v>46046.104166666664</v>
      </c>
      <c r="G14" s="14"/>
      <c r="H14" s="18" t="s">
        <v>69</v>
      </c>
      <c r="I14" s="18">
        <v>46048</v>
      </c>
      <c r="J14" s="6" t="s">
        <v>22</v>
      </c>
      <c r="K14" s="6" t="s">
        <v>70</v>
      </c>
      <c r="L14" s="17">
        <v>46051</v>
      </c>
      <c r="M14" s="28">
        <f>_xlfn.ISOWEEKNUM(Таблица163[[#This Row],[Дата  составления  B\L Морского Судна]])</f>
        <v>5</v>
      </c>
      <c r="N14" s="35" t="str">
        <f>TEXT(Таблица163[[#This Row],[Дата  составления  B\L Морского Судна]],"МММ")</f>
        <v>янв</v>
      </c>
      <c r="O14" s="28">
        <f>YEAR(Таблица163[[#This Row],[Дата  составления  B\L Морского Судна]])</f>
        <v>2026</v>
      </c>
      <c r="P14" s="10"/>
      <c r="Q14"/>
      <c r="R14"/>
      <c r="S14" s="20"/>
      <c r="U14"/>
      <c r="V14"/>
      <c r="W14"/>
      <c r="X14"/>
      <c r="Y14"/>
      <c r="AB14"/>
    </row>
    <row r="15" spans="1:28" x14ac:dyDescent="0.25">
      <c r="A15" s="4" t="s">
        <v>8</v>
      </c>
      <c r="B15" s="5" t="s">
        <v>20</v>
      </c>
      <c r="C15" s="5" t="s">
        <v>129</v>
      </c>
      <c r="D15" s="9">
        <v>3269.0430000000001</v>
      </c>
      <c r="E15" s="18" t="s">
        <v>15</v>
      </c>
      <c r="F15" s="14">
        <v>46046.104166666664</v>
      </c>
      <c r="G15" s="14"/>
      <c r="H15" s="18" t="s">
        <v>69</v>
      </c>
      <c r="I15" s="18">
        <v>46048</v>
      </c>
      <c r="J15" s="6" t="s">
        <v>22</v>
      </c>
      <c r="K15" s="6" t="s">
        <v>71</v>
      </c>
      <c r="L15" s="18">
        <v>46051</v>
      </c>
      <c r="M15" s="28">
        <f>_xlfn.ISOWEEKNUM(Таблица163[[#This Row],[Дата  составления  B\L Морского Судна]])</f>
        <v>5</v>
      </c>
      <c r="N15" s="35" t="str">
        <f>TEXT(Таблица163[[#This Row],[Дата  составления  B\L Морского Судна]],"МММ")</f>
        <v>янв</v>
      </c>
      <c r="O15" s="28">
        <f>YEAR(Таблица163[[#This Row],[Дата  составления  B\L Морского Судна]])</f>
        <v>2026</v>
      </c>
      <c r="P15" s="15"/>
      <c r="R15"/>
      <c r="S15" s="10"/>
      <c r="T15" s="10"/>
      <c r="X15"/>
      <c r="Y15"/>
      <c r="Z15" s="20"/>
      <c r="AB15"/>
    </row>
    <row r="16" spans="1:28" x14ac:dyDescent="0.25">
      <c r="A16" s="4" t="s">
        <v>6</v>
      </c>
      <c r="B16" s="5" t="s">
        <v>20</v>
      </c>
      <c r="C16" s="5" t="s">
        <v>129</v>
      </c>
      <c r="D16" s="9">
        <v>3249.9639999999999</v>
      </c>
      <c r="E16" s="18" t="s">
        <v>15</v>
      </c>
      <c r="F16" s="14">
        <v>46046.104166666664</v>
      </c>
      <c r="G16" s="14"/>
      <c r="H16" s="18" t="s">
        <v>69</v>
      </c>
      <c r="I16" s="18">
        <v>46048</v>
      </c>
      <c r="J16" s="6" t="s">
        <v>22</v>
      </c>
      <c r="K16" s="6" t="s">
        <v>72</v>
      </c>
      <c r="L16" s="18">
        <v>46051</v>
      </c>
      <c r="M16" s="28">
        <f>_xlfn.ISOWEEKNUM(Таблица163[[#This Row],[Дата  составления  B\L Морского Судна]])</f>
        <v>5</v>
      </c>
      <c r="N16" s="35" t="str">
        <f>TEXT(Таблица163[[#This Row],[Дата  составления  B\L Морского Судна]],"МММ")</f>
        <v>янв</v>
      </c>
      <c r="O16" s="28">
        <f>YEAR(Таблица163[[#This Row],[Дата  составления  B\L Морского Судна]])</f>
        <v>2026</v>
      </c>
      <c r="P16" s="15"/>
      <c r="R16"/>
      <c r="S16" s="10"/>
      <c r="T16" s="10"/>
      <c r="X16"/>
      <c r="Y16"/>
      <c r="Z16" s="20"/>
      <c r="AB16"/>
    </row>
    <row r="17" spans="1:28" x14ac:dyDescent="0.25">
      <c r="A17" s="4" t="s">
        <v>5</v>
      </c>
      <c r="B17" s="5" t="s">
        <v>20</v>
      </c>
      <c r="C17" s="5" t="s">
        <v>129</v>
      </c>
      <c r="D17" s="9">
        <v>3179.6790000000001</v>
      </c>
      <c r="E17" s="18" t="s">
        <v>15</v>
      </c>
      <c r="F17" s="14">
        <v>46046.104166666664</v>
      </c>
      <c r="G17" s="14"/>
      <c r="H17" s="18" t="s">
        <v>69</v>
      </c>
      <c r="I17" s="18">
        <v>46048</v>
      </c>
      <c r="J17" s="6" t="s">
        <v>22</v>
      </c>
      <c r="K17" s="6" t="s">
        <v>73</v>
      </c>
      <c r="L17" s="18">
        <v>46051</v>
      </c>
      <c r="M17" s="28">
        <f>_xlfn.ISOWEEKNUM(Таблица163[[#This Row],[Дата  составления  B\L Морского Судна]])</f>
        <v>5</v>
      </c>
      <c r="N17" s="35" t="str">
        <f>TEXT(Таблица163[[#This Row],[Дата  составления  B\L Морского Судна]],"МММ")</f>
        <v>янв</v>
      </c>
      <c r="O17" s="28">
        <f>YEAR(Таблица163[[#This Row],[Дата  составления  B\L Морского Судна]])</f>
        <v>2026</v>
      </c>
      <c r="P17" s="15"/>
      <c r="R17"/>
      <c r="S17" s="10"/>
      <c r="T17" s="10"/>
      <c r="X17"/>
      <c r="Y17"/>
      <c r="Z17" s="20"/>
      <c r="AB17"/>
    </row>
    <row r="18" spans="1:28" x14ac:dyDescent="0.25">
      <c r="A18" s="4" t="s">
        <v>4</v>
      </c>
      <c r="B18" s="5" t="s">
        <v>20</v>
      </c>
      <c r="C18" s="5" t="s">
        <v>129</v>
      </c>
      <c r="D18" s="9">
        <v>4012.3980000000001</v>
      </c>
      <c r="E18" s="18" t="s">
        <v>15</v>
      </c>
      <c r="F18" s="14">
        <v>46046.104166666664</v>
      </c>
      <c r="G18" s="14"/>
      <c r="H18" s="18" t="s">
        <v>69</v>
      </c>
      <c r="I18" s="18">
        <v>46048</v>
      </c>
      <c r="J18" s="6" t="s">
        <v>22</v>
      </c>
      <c r="K18" s="6" t="s">
        <v>74</v>
      </c>
      <c r="L18" s="18">
        <v>46051</v>
      </c>
      <c r="M18" s="28">
        <f>_xlfn.ISOWEEKNUM(Таблица163[[#This Row],[Дата  составления  B\L Морского Судна]])</f>
        <v>5</v>
      </c>
      <c r="N18" s="35" t="str">
        <f>TEXT(Таблица163[[#This Row],[Дата  составления  B\L Морского Судна]],"МММ")</f>
        <v>янв</v>
      </c>
      <c r="O18" s="28">
        <f>YEAR(Таблица163[[#This Row],[Дата  составления  B\L Морского Судна]])</f>
        <v>2026</v>
      </c>
      <c r="P18" s="15"/>
      <c r="R18"/>
      <c r="S18" s="10"/>
      <c r="T18" s="10"/>
      <c r="X18"/>
      <c r="Y18"/>
      <c r="Z18" s="20"/>
      <c r="AB18"/>
    </row>
    <row r="19" spans="1:28" x14ac:dyDescent="0.25">
      <c r="A19" s="4" t="s">
        <v>1</v>
      </c>
      <c r="B19" s="5" t="s">
        <v>20</v>
      </c>
      <c r="C19" s="5" t="s">
        <v>129</v>
      </c>
      <c r="D19" s="9">
        <v>3300.29</v>
      </c>
      <c r="E19" s="18" t="s">
        <v>15</v>
      </c>
      <c r="F19" s="14">
        <v>46046.104166666664</v>
      </c>
      <c r="G19" s="14"/>
      <c r="H19" s="18" t="s">
        <v>69</v>
      </c>
      <c r="I19" s="18">
        <v>46048</v>
      </c>
      <c r="J19" s="6" t="s">
        <v>22</v>
      </c>
      <c r="K19" s="6" t="s">
        <v>75</v>
      </c>
      <c r="L19" s="18">
        <v>46051</v>
      </c>
      <c r="M19" s="28">
        <f>_xlfn.ISOWEEKNUM(Таблица163[[#This Row],[Дата  составления  B\L Морского Судна]])</f>
        <v>5</v>
      </c>
      <c r="N19" s="35" t="str">
        <f>TEXT(Таблица163[[#This Row],[Дата  составления  B\L Морского Судна]],"МММ")</f>
        <v>янв</v>
      </c>
      <c r="O19" s="28">
        <f>YEAR(Таблица163[[#This Row],[Дата  составления  B\L Морского Судна]])</f>
        <v>2026</v>
      </c>
      <c r="P19" s="15"/>
      <c r="R19"/>
      <c r="S19" s="10"/>
      <c r="T19" s="10"/>
      <c r="X19"/>
      <c r="Y19"/>
      <c r="Z19" s="20"/>
      <c r="AB19"/>
    </row>
    <row r="20" spans="1:28" x14ac:dyDescent="0.25">
      <c r="A20" s="4" t="s">
        <v>8</v>
      </c>
      <c r="B20" s="5" t="s">
        <v>20</v>
      </c>
      <c r="C20" s="5" t="s">
        <v>129</v>
      </c>
      <c r="D20" s="9">
        <v>3299.9589999999998</v>
      </c>
      <c r="E20" s="18" t="s">
        <v>15</v>
      </c>
      <c r="F20" s="14">
        <v>46046.104166666664</v>
      </c>
      <c r="G20" s="14"/>
      <c r="H20" s="18" t="s">
        <v>69</v>
      </c>
      <c r="I20" s="18">
        <v>46048</v>
      </c>
      <c r="J20" s="6" t="s">
        <v>22</v>
      </c>
      <c r="K20" s="6" t="s">
        <v>76</v>
      </c>
      <c r="L20" s="18">
        <v>46051</v>
      </c>
      <c r="M20" s="28">
        <f>_xlfn.ISOWEEKNUM(Таблица163[[#This Row],[Дата  составления  B\L Морского Судна]])</f>
        <v>5</v>
      </c>
      <c r="N20" s="35" t="str">
        <f>TEXT(Таблица163[[#This Row],[Дата  составления  B\L Морского Судна]],"МММ")</f>
        <v>янв</v>
      </c>
      <c r="O20" s="28">
        <f>YEAR(Таблица163[[#This Row],[Дата  составления  B\L Морского Судна]])</f>
        <v>2026</v>
      </c>
      <c r="P20" s="15"/>
      <c r="R20"/>
      <c r="S20" s="10"/>
      <c r="T20" s="10"/>
      <c r="X20"/>
      <c r="Y20"/>
      <c r="Z20" s="20"/>
      <c r="AB20"/>
    </row>
    <row r="21" spans="1:28" x14ac:dyDescent="0.25">
      <c r="A21" s="4" t="s">
        <v>6</v>
      </c>
      <c r="B21" s="5" t="s">
        <v>20</v>
      </c>
      <c r="C21" s="5" t="s">
        <v>129</v>
      </c>
      <c r="D21" s="9">
        <v>3251.2559999999999</v>
      </c>
      <c r="E21" s="18" t="s">
        <v>15</v>
      </c>
      <c r="F21" s="14">
        <v>46046.104166666664</v>
      </c>
      <c r="G21" s="14"/>
      <c r="H21" s="18" t="s">
        <v>69</v>
      </c>
      <c r="I21" s="18">
        <v>46048</v>
      </c>
      <c r="J21" s="6" t="s">
        <v>22</v>
      </c>
      <c r="K21" s="6" t="s">
        <v>77</v>
      </c>
      <c r="L21" s="18">
        <v>46051</v>
      </c>
      <c r="M21" s="28">
        <f>_xlfn.ISOWEEKNUM(Таблица163[[#This Row],[Дата  составления  B\L Морского Судна]])</f>
        <v>5</v>
      </c>
      <c r="N21" s="35" t="str">
        <f>TEXT(Таблица163[[#This Row],[Дата  составления  B\L Морского Судна]],"МММ")</f>
        <v>янв</v>
      </c>
      <c r="O21" s="28">
        <f>YEAR(Таблица163[[#This Row],[Дата  составления  B\L Морского Судна]])</f>
        <v>2026</v>
      </c>
      <c r="P21" s="15"/>
      <c r="R21"/>
      <c r="S21" s="10"/>
      <c r="T21" s="10"/>
      <c r="X21"/>
      <c r="Y21"/>
      <c r="Z21" s="20"/>
      <c r="AB21"/>
    </row>
    <row r="22" spans="1:28" x14ac:dyDescent="0.25">
      <c r="A22" s="4" t="s">
        <v>4</v>
      </c>
      <c r="B22" s="5" t="s">
        <v>20</v>
      </c>
      <c r="C22" s="5" t="s">
        <v>129</v>
      </c>
      <c r="D22" s="9">
        <v>655.24599999999998</v>
      </c>
      <c r="E22" s="18" t="s">
        <v>15</v>
      </c>
      <c r="F22" s="14">
        <v>46046.104166666664</v>
      </c>
      <c r="G22" s="14"/>
      <c r="H22" s="18" t="s">
        <v>69</v>
      </c>
      <c r="I22" s="18">
        <v>46048</v>
      </c>
      <c r="J22" s="6" t="s">
        <v>22</v>
      </c>
      <c r="K22" s="6" t="s">
        <v>64</v>
      </c>
      <c r="L22" s="18">
        <v>46051</v>
      </c>
      <c r="M22" s="28">
        <f>_xlfn.ISOWEEKNUM(Таблица163[[#This Row],[Дата  составления  B\L Морского Судна]])</f>
        <v>5</v>
      </c>
      <c r="N22" s="35" t="str">
        <f>TEXT(Таблица163[[#This Row],[Дата  составления  B\L Морского Судна]],"МММ")</f>
        <v>янв</v>
      </c>
      <c r="O22" s="28">
        <f>YEAR(Таблица163[[#This Row],[Дата  составления  B\L Морского Судна]])</f>
        <v>2026</v>
      </c>
      <c r="P22" s="15"/>
      <c r="R22"/>
      <c r="S22" s="10"/>
      <c r="T22" s="10"/>
      <c r="X22"/>
      <c r="Y22"/>
      <c r="Z22" s="20"/>
      <c r="AB22"/>
    </row>
    <row r="23" spans="1:28" x14ac:dyDescent="0.25">
      <c r="A23" s="32" t="s">
        <v>4</v>
      </c>
      <c r="B23" s="5" t="s">
        <v>20</v>
      </c>
      <c r="C23" s="5" t="s">
        <v>129</v>
      </c>
      <c r="D23" s="9">
        <v>1.73</v>
      </c>
      <c r="E23" s="31" t="s">
        <v>15</v>
      </c>
      <c r="F23" s="14">
        <v>46046.104166666664</v>
      </c>
      <c r="G23" s="14"/>
      <c r="H23" s="31" t="s">
        <v>69</v>
      </c>
      <c r="I23" s="18">
        <v>46048</v>
      </c>
      <c r="J23" s="9" t="s">
        <v>22</v>
      </c>
      <c r="K23" s="23" t="s">
        <v>64</v>
      </c>
      <c r="L23" s="18">
        <v>46051</v>
      </c>
      <c r="M23" s="28">
        <f>_xlfn.ISOWEEKNUM(Таблица163[[#This Row],[Дата  составления  B\L Морского Судна]])</f>
        <v>5</v>
      </c>
      <c r="N23" s="35" t="str">
        <f>TEXT(Таблица163[[#This Row],[Дата  составления  B\L Морского Судна]],"МММ")</f>
        <v>янв</v>
      </c>
      <c r="O23" s="28">
        <f>YEAR(Таблица163[[#This Row],[Дата  составления  B\L Морского Судна]])</f>
        <v>2026</v>
      </c>
    </row>
    <row r="24" spans="1:28" x14ac:dyDescent="0.25">
      <c r="A24" s="32" t="s">
        <v>27</v>
      </c>
      <c r="B24" s="5" t="s">
        <v>20</v>
      </c>
      <c r="C24" s="5" t="s">
        <v>129</v>
      </c>
      <c r="D24" s="9">
        <v>4196.6220000000003</v>
      </c>
      <c r="E24" s="31" t="s">
        <v>14</v>
      </c>
      <c r="F24" s="14"/>
      <c r="G24" s="14"/>
      <c r="H24" s="31" t="s">
        <v>12</v>
      </c>
      <c r="I24" s="18">
        <v>46059</v>
      </c>
      <c r="J24" s="9" t="s">
        <v>22</v>
      </c>
      <c r="K24" s="23" t="s">
        <v>90</v>
      </c>
      <c r="L24" s="18">
        <v>46061</v>
      </c>
      <c r="M24" s="29">
        <f>_xlfn.ISOWEEKNUM(Таблица163[[#This Row],[Дата  составления  B\L Морского Судна]])</f>
        <v>6</v>
      </c>
      <c r="N24" s="41" t="str">
        <f>TEXT(Таблица163[[#This Row],[Дата  составления  B\L Морского Судна]],"МММ")</f>
        <v>фев</v>
      </c>
      <c r="O24" s="29">
        <f>YEAR(Таблица163[[#This Row],[Дата  составления  B\L Морского Судна]])</f>
        <v>2026</v>
      </c>
    </row>
    <row r="25" spans="1:28" x14ac:dyDescent="0.25">
      <c r="A25" s="32" t="s">
        <v>5</v>
      </c>
      <c r="B25" s="5" t="s">
        <v>20</v>
      </c>
      <c r="C25" s="5" t="s">
        <v>129</v>
      </c>
      <c r="D25" s="9">
        <v>868.221</v>
      </c>
      <c r="E25" s="31" t="s">
        <v>14</v>
      </c>
      <c r="F25" s="14"/>
      <c r="G25" s="14"/>
      <c r="H25" s="31" t="s">
        <v>12</v>
      </c>
      <c r="I25" s="18">
        <v>46059</v>
      </c>
      <c r="J25" s="9" t="s">
        <v>22</v>
      </c>
      <c r="K25" s="23" t="s">
        <v>91</v>
      </c>
      <c r="L25" s="18">
        <v>46061</v>
      </c>
      <c r="M25" s="29">
        <f>_xlfn.ISOWEEKNUM(Таблица163[[#This Row],[Дата  составления  B\L Морского Судна]])</f>
        <v>6</v>
      </c>
      <c r="N25" s="41" t="str">
        <f>TEXT(Таблица163[[#This Row],[Дата  составления  B\L Морского Судна]],"МММ")</f>
        <v>фев</v>
      </c>
      <c r="O25" s="29">
        <f>YEAR(Таблица163[[#This Row],[Дата  составления  B\L Морского Судна]])</f>
        <v>2026</v>
      </c>
    </row>
    <row r="26" spans="1:28" x14ac:dyDescent="0.25">
      <c r="A26" s="32" t="s">
        <v>1</v>
      </c>
      <c r="B26" s="5" t="s">
        <v>20</v>
      </c>
      <c r="C26" s="5" t="s">
        <v>129</v>
      </c>
      <c r="D26" s="9">
        <v>2486.5810000000001</v>
      </c>
      <c r="E26" s="31" t="s">
        <v>14</v>
      </c>
      <c r="F26" s="14"/>
      <c r="G26" s="14"/>
      <c r="H26" s="31" t="s">
        <v>12</v>
      </c>
      <c r="I26" s="18">
        <v>46059</v>
      </c>
      <c r="J26" s="9" t="s">
        <v>22</v>
      </c>
      <c r="K26" s="23" t="s">
        <v>65</v>
      </c>
      <c r="L26" s="18">
        <v>46061</v>
      </c>
      <c r="M26" s="29">
        <f>_xlfn.ISOWEEKNUM(Таблица163[[#This Row],[Дата  составления  B\L Морского Судна]])</f>
        <v>6</v>
      </c>
      <c r="N26" s="41" t="str">
        <f>TEXT(Таблица163[[#This Row],[Дата  составления  B\L Морского Судна]],"МММ")</f>
        <v>фев</v>
      </c>
      <c r="O26" s="29">
        <f>YEAR(Таблица163[[#This Row],[Дата  составления  B\L Морского Судна]])</f>
        <v>2026</v>
      </c>
    </row>
    <row r="27" spans="1:28" x14ac:dyDescent="0.25">
      <c r="A27" s="38" t="s">
        <v>11</v>
      </c>
      <c r="B27" s="5" t="s">
        <v>20</v>
      </c>
      <c r="C27" s="5" t="s">
        <v>129</v>
      </c>
      <c r="D27" s="9">
        <v>4812.326</v>
      </c>
      <c r="E27" s="31" t="s">
        <v>14</v>
      </c>
      <c r="F27" s="14"/>
      <c r="G27" s="14"/>
      <c r="H27" s="31" t="s">
        <v>12</v>
      </c>
      <c r="I27" s="18">
        <v>46059</v>
      </c>
      <c r="J27" s="9" t="s">
        <v>22</v>
      </c>
      <c r="K27" s="39" t="s">
        <v>92</v>
      </c>
      <c r="L27" s="18">
        <v>46061</v>
      </c>
      <c r="M27" s="28">
        <f>_xlfn.ISOWEEKNUM(Таблица163[[#This Row],[Дата  составления  B\L Морского Судна]])</f>
        <v>6</v>
      </c>
      <c r="N27" s="35" t="str">
        <f>TEXT(Таблица163[[#This Row],[Дата  составления  B\L Морского Судна]],"МММ")</f>
        <v>фев</v>
      </c>
      <c r="O27" s="28">
        <f>YEAR(Таблица163[[#This Row],[Дата  составления  B\L Морского Судна]])</f>
        <v>2026</v>
      </c>
    </row>
    <row r="28" spans="1:28" x14ac:dyDescent="0.25">
      <c r="A28" s="38" t="s">
        <v>7</v>
      </c>
      <c r="B28" s="5" t="s">
        <v>20</v>
      </c>
      <c r="C28" s="5" t="s">
        <v>129</v>
      </c>
      <c r="D28" s="9">
        <v>3209.933</v>
      </c>
      <c r="E28" s="31" t="s">
        <v>14</v>
      </c>
      <c r="F28" s="14"/>
      <c r="G28" s="14"/>
      <c r="H28" s="31" t="s">
        <v>12</v>
      </c>
      <c r="I28" s="18">
        <v>46059</v>
      </c>
      <c r="J28" s="9" t="s">
        <v>22</v>
      </c>
      <c r="K28" s="39" t="s">
        <v>93</v>
      </c>
      <c r="L28" s="18">
        <v>46061</v>
      </c>
      <c r="M28" s="28">
        <f>_xlfn.ISOWEEKNUM(Таблица163[[#This Row],[Дата  составления  B\L Морского Судна]])</f>
        <v>6</v>
      </c>
      <c r="N28" s="35" t="str">
        <f>TEXT(Таблица163[[#This Row],[Дата  составления  B\L Морского Судна]],"МММ")</f>
        <v>фев</v>
      </c>
      <c r="O28" s="28">
        <f>YEAR(Таблица163[[#This Row],[Дата  составления  B\L Морского Судна]])</f>
        <v>2026</v>
      </c>
    </row>
    <row r="29" spans="1:28" x14ac:dyDescent="0.25">
      <c r="A29" s="38" t="s">
        <v>5</v>
      </c>
      <c r="B29" s="5" t="s">
        <v>20</v>
      </c>
      <c r="C29" s="5" t="s">
        <v>129</v>
      </c>
      <c r="D29" s="9">
        <v>3300.549</v>
      </c>
      <c r="E29" s="31" t="s">
        <v>14</v>
      </c>
      <c r="F29" s="14"/>
      <c r="G29" s="14"/>
      <c r="H29" s="31" t="s">
        <v>12</v>
      </c>
      <c r="I29" s="18">
        <v>46059</v>
      </c>
      <c r="J29" s="9" t="s">
        <v>22</v>
      </c>
      <c r="K29" s="39" t="s">
        <v>94</v>
      </c>
      <c r="L29" s="18">
        <v>46061</v>
      </c>
      <c r="M29" s="28">
        <f>_xlfn.ISOWEEKNUM(Таблица163[[#This Row],[Дата  составления  B\L Морского Судна]])</f>
        <v>6</v>
      </c>
      <c r="N29" s="35" t="str">
        <f>TEXT(Таблица163[[#This Row],[Дата  составления  B\L Морского Судна]],"МММ")</f>
        <v>фев</v>
      </c>
      <c r="O29" s="28">
        <f>YEAR(Таблица163[[#This Row],[Дата  составления  B\L Морского Судна]])</f>
        <v>2026</v>
      </c>
    </row>
    <row r="30" spans="1:28" x14ac:dyDescent="0.25">
      <c r="A30" s="38" t="s">
        <v>2</v>
      </c>
      <c r="B30" s="5" t="s">
        <v>20</v>
      </c>
      <c r="C30" s="5" t="s">
        <v>129</v>
      </c>
      <c r="D30" s="8">
        <v>3900</v>
      </c>
      <c r="E30" s="40" t="s">
        <v>14</v>
      </c>
      <c r="F30" s="13"/>
      <c r="G30" s="13"/>
      <c r="H30" s="40" t="s">
        <v>12</v>
      </c>
      <c r="I30" s="18">
        <v>46059</v>
      </c>
      <c r="J30" s="9" t="s">
        <v>22</v>
      </c>
      <c r="K30" s="39" t="s">
        <v>95</v>
      </c>
      <c r="L30" s="18">
        <v>46061</v>
      </c>
      <c r="M30" s="28">
        <f>_xlfn.ISOWEEKNUM(Таблица163[[#This Row],[Дата  составления  B\L Морского Судна]])</f>
        <v>6</v>
      </c>
      <c r="N30" s="35" t="str">
        <f>TEXT(Таблица163[[#This Row],[Дата  составления  B\L Морского Судна]],"МММ")</f>
        <v>фев</v>
      </c>
      <c r="O30" s="28">
        <f>YEAR(Таблица163[[#This Row],[Дата  составления  B\L Морского Судна]])</f>
        <v>2026</v>
      </c>
    </row>
    <row r="31" spans="1:28" x14ac:dyDescent="0.25">
      <c r="A31" s="38" t="s">
        <v>11</v>
      </c>
      <c r="B31" s="5" t="s">
        <v>20</v>
      </c>
      <c r="C31" s="5" t="s">
        <v>129</v>
      </c>
      <c r="D31" s="8">
        <v>214.47300000000001</v>
      </c>
      <c r="E31" s="40" t="s">
        <v>14</v>
      </c>
      <c r="F31" s="13"/>
      <c r="G31" s="13"/>
      <c r="H31" s="40" t="s">
        <v>12</v>
      </c>
      <c r="I31" s="18">
        <v>46059</v>
      </c>
      <c r="J31" s="9" t="s">
        <v>22</v>
      </c>
      <c r="K31" s="39" t="s">
        <v>61</v>
      </c>
      <c r="L31" s="18">
        <v>46061</v>
      </c>
      <c r="M31" s="28">
        <f>_xlfn.ISOWEEKNUM(Таблица163[[#This Row],[Дата  составления  B\L Морского Судна]])</f>
        <v>6</v>
      </c>
      <c r="N31" s="35" t="str">
        <f>TEXT(Таблица163[[#This Row],[Дата  составления  B\L Морского Судна]],"МММ")</f>
        <v>фев</v>
      </c>
      <c r="O31" s="28">
        <f>YEAR(Таблица163[[#This Row],[Дата  составления  B\L Морского Судна]])</f>
        <v>2026</v>
      </c>
    </row>
    <row r="32" spans="1:28" x14ac:dyDescent="0.25">
      <c r="A32" s="38" t="s">
        <v>2</v>
      </c>
      <c r="B32" s="5" t="s">
        <v>20</v>
      </c>
      <c r="C32" s="5" t="s">
        <v>129</v>
      </c>
      <c r="D32" s="8">
        <v>3572.3649999999998</v>
      </c>
      <c r="E32" s="40" t="s">
        <v>14</v>
      </c>
      <c r="F32" s="13"/>
      <c r="G32" s="13"/>
      <c r="H32" s="40" t="s">
        <v>12</v>
      </c>
      <c r="I32" s="18">
        <v>46059</v>
      </c>
      <c r="J32" s="9" t="s">
        <v>22</v>
      </c>
      <c r="K32" s="39" t="s">
        <v>96</v>
      </c>
      <c r="L32" s="18">
        <v>46061</v>
      </c>
      <c r="M32" s="28">
        <f>_xlfn.ISOWEEKNUM(Таблица163[[#This Row],[Дата  составления  B\L Морского Судна]])</f>
        <v>6</v>
      </c>
      <c r="N32" s="35" t="str">
        <f>TEXT(Таблица163[[#This Row],[Дата  составления  B\L Морского Судна]],"МММ")</f>
        <v>фев</v>
      </c>
      <c r="O32" s="28">
        <f>YEAR(Таблица163[[#This Row],[Дата  составления  B\L Морского Судна]])</f>
        <v>2026</v>
      </c>
    </row>
    <row r="33" spans="1:15" x14ac:dyDescent="0.25">
      <c r="A33" s="38" t="s">
        <v>26</v>
      </c>
      <c r="B33" s="5" t="s">
        <v>20</v>
      </c>
      <c r="C33" s="5" t="s">
        <v>129</v>
      </c>
      <c r="D33" s="9">
        <v>4300.5600000000004</v>
      </c>
      <c r="E33" s="31" t="s">
        <v>14</v>
      </c>
      <c r="F33" s="14"/>
      <c r="G33" s="14"/>
      <c r="H33" s="31" t="s">
        <v>102</v>
      </c>
      <c r="I33" s="18">
        <v>46087</v>
      </c>
      <c r="J33" s="9" t="s">
        <v>22</v>
      </c>
      <c r="K33" s="39" t="s">
        <v>103</v>
      </c>
      <c r="L33" s="40"/>
      <c r="M33" s="28">
        <f>_xlfn.ISOWEEKNUM(Таблица163[[#This Row],[Дата  составления  B\L Морского Судна]])</f>
        <v>10</v>
      </c>
      <c r="N33" s="35" t="str">
        <f>TEXT(Таблица163[[#This Row],[Дата  составления  B\L Морского Судна]],"МММ")</f>
        <v>мар</v>
      </c>
      <c r="O33" s="28">
        <f>YEAR(Таблица163[[#This Row],[Дата  составления  B\L Морского Судна]])</f>
        <v>2026</v>
      </c>
    </row>
    <row r="34" spans="1:15" x14ac:dyDescent="0.25">
      <c r="A34" s="38" t="s">
        <v>2</v>
      </c>
      <c r="B34" s="5" t="s">
        <v>20</v>
      </c>
      <c r="C34" s="5" t="s">
        <v>129</v>
      </c>
      <c r="D34" s="9">
        <v>429.392</v>
      </c>
      <c r="E34" s="31" t="s">
        <v>14</v>
      </c>
      <c r="F34" s="14"/>
      <c r="G34" s="14"/>
      <c r="H34" s="31" t="s">
        <v>102</v>
      </c>
      <c r="I34" s="18">
        <v>46087</v>
      </c>
      <c r="J34" s="9" t="s">
        <v>22</v>
      </c>
      <c r="K34" s="39" t="s">
        <v>96</v>
      </c>
      <c r="L34" s="40"/>
      <c r="M34" s="28">
        <f>_xlfn.ISOWEEKNUM(Таблица163[[#This Row],[Дата  составления  B\L Морского Судна]])</f>
        <v>10</v>
      </c>
      <c r="N34" s="35" t="str">
        <f>TEXT(Таблица163[[#This Row],[Дата  составления  B\L Морского Судна]],"МММ")</f>
        <v>мар</v>
      </c>
      <c r="O34" s="28">
        <f>YEAR(Таблица163[[#This Row],[Дата  составления  B\L Морского Судна]])</f>
        <v>2026</v>
      </c>
    </row>
    <row r="35" spans="1:15" x14ac:dyDescent="0.25">
      <c r="A35" s="38" t="s">
        <v>2</v>
      </c>
      <c r="B35" s="5" t="s">
        <v>20</v>
      </c>
      <c r="C35" s="5" t="s">
        <v>129</v>
      </c>
      <c r="D35" s="9">
        <v>4034.2849999999999</v>
      </c>
      <c r="E35" s="31" t="s">
        <v>14</v>
      </c>
      <c r="F35" s="14"/>
      <c r="G35" s="14"/>
      <c r="H35" s="31" t="s">
        <v>102</v>
      </c>
      <c r="I35" s="18">
        <v>46087</v>
      </c>
      <c r="J35" s="9" t="s">
        <v>22</v>
      </c>
      <c r="K35" s="42" t="s">
        <v>104</v>
      </c>
      <c r="L35" s="40"/>
      <c r="M35" s="28">
        <f>_xlfn.ISOWEEKNUM(Таблица163[[#This Row],[Дата  составления  B\L Морского Судна]])</f>
        <v>10</v>
      </c>
      <c r="N35" s="35" t="str">
        <f>TEXT(Таблица163[[#This Row],[Дата  составления  B\L Морского Судна]],"МММ")</f>
        <v>мар</v>
      </c>
      <c r="O35" s="28">
        <f>YEAR(Таблица163[[#This Row],[Дата  составления  B\L Морского Судна]])</f>
        <v>2026</v>
      </c>
    </row>
    <row r="36" spans="1:15" x14ac:dyDescent="0.25">
      <c r="A36" s="38" t="s">
        <v>5</v>
      </c>
      <c r="B36" s="5" t="s">
        <v>20</v>
      </c>
      <c r="C36" s="5" t="s">
        <v>129</v>
      </c>
      <c r="D36" s="9">
        <v>3299.5250000000001</v>
      </c>
      <c r="E36" s="31" t="s">
        <v>14</v>
      </c>
      <c r="F36" s="14"/>
      <c r="G36" s="14"/>
      <c r="H36" s="31" t="s">
        <v>102</v>
      </c>
      <c r="I36" s="18">
        <v>46087</v>
      </c>
      <c r="J36" s="9" t="s">
        <v>22</v>
      </c>
      <c r="K36" s="42" t="s">
        <v>105</v>
      </c>
      <c r="L36" s="40"/>
      <c r="M36" s="28">
        <f>_xlfn.ISOWEEKNUM(Таблица163[[#This Row],[Дата  составления  B\L Морского Судна]])</f>
        <v>10</v>
      </c>
      <c r="N36" s="35" t="str">
        <f>TEXT(Таблица163[[#This Row],[Дата  составления  B\L Морского Судна]],"МММ")</f>
        <v>мар</v>
      </c>
      <c r="O36" s="28">
        <f>YEAR(Таблица163[[#This Row],[Дата  составления  B\L Морского Судна]])</f>
        <v>2026</v>
      </c>
    </row>
    <row r="37" spans="1:15" x14ac:dyDescent="0.25">
      <c r="A37" s="38" t="s">
        <v>5</v>
      </c>
      <c r="B37" s="5" t="s">
        <v>20</v>
      </c>
      <c r="C37" s="5" t="s">
        <v>129</v>
      </c>
      <c r="D37" s="9">
        <v>3008.0459999999998</v>
      </c>
      <c r="E37" s="31" t="s">
        <v>14</v>
      </c>
      <c r="F37" s="14"/>
      <c r="G37" s="14"/>
      <c r="H37" s="31" t="s">
        <v>102</v>
      </c>
      <c r="I37" s="18">
        <v>46087</v>
      </c>
      <c r="J37" s="9" t="s">
        <v>22</v>
      </c>
      <c r="K37" s="39" t="s">
        <v>107</v>
      </c>
      <c r="L37" s="40"/>
      <c r="M37" s="28">
        <f>_xlfn.ISOWEEKNUM(Таблица163[[#This Row],[Дата  составления  B\L Морского Судна]])</f>
        <v>10</v>
      </c>
      <c r="N37" s="35" t="str">
        <f>TEXT(Таблица163[[#This Row],[Дата  составления  B\L Морского Судна]],"МММ")</f>
        <v>мар</v>
      </c>
      <c r="O37" s="28">
        <f>YEAR(Таблица163[[#This Row],[Дата  составления  B\L Морского Судна]])</f>
        <v>2026</v>
      </c>
    </row>
    <row r="38" spans="1:15" x14ac:dyDescent="0.25">
      <c r="A38" s="38" t="s">
        <v>6</v>
      </c>
      <c r="B38" s="5" t="s">
        <v>20</v>
      </c>
      <c r="C38" s="5" t="s">
        <v>129</v>
      </c>
      <c r="D38" s="9">
        <v>3080.8</v>
      </c>
      <c r="E38" s="31" t="s">
        <v>14</v>
      </c>
      <c r="F38" s="14"/>
      <c r="G38" s="14"/>
      <c r="H38" s="31" t="s">
        <v>102</v>
      </c>
      <c r="I38" s="18">
        <v>46087</v>
      </c>
      <c r="J38" s="9" t="s">
        <v>22</v>
      </c>
      <c r="K38" s="39" t="s">
        <v>106</v>
      </c>
      <c r="L38" s="40"/>
      <c r="M38" s="28">
        <f>_xlfn.ISOWEEKNUM(Таблица163[[#This Row],[Дата  составления  B\L Морского Судна]])</f>
        <v>10</v>
      </c>
      <c r="N38" s="35" t="str">
        <f>TEXT(Таблица163[[#This Row],[Дата  составления  B\L Морского Судна]],"МММ")</f>
        <v>мар</v>
      </c>
      <c r="O38" s="28">
        <f>YEAR(Таблица163[[#This Row],[Дата  составления  B\L Морского Судна]])</f>
        <v>2026</v>
      </c>
    </row>
    <row r="39" spans="1:15" x14ac:dyDescent="0.25">
      <c r="A39" s="38" t="s">
        <v>7</v>
      </c>
      <c r="B39" s="5" t="s">
        <v>20</v>
      </c>
      <c r="C39" s="5" t="s">
        <v>128</v>
      </c>
      <c r="D39" s="9">
        <v>3235.8980000000001</v>
      </c>
      <c r="E39" s="31"/>
      <c r="F39" s="14"/>
      <c r="G39" s="14"/>
      <c r="H39" s="31" t="s">
        <v>102</v>
      </c>
      <c r="I39" s="18">
        <v>46087</v>
      </c>
      <c r="J39" s="9" t="s">
        <v>22</v>
      </c>
      <c r="K39" s="39" t="s">
        <v>108</v>
      </c>
      <c r="L39" s="40"/>
      <c r="M39" s="28">
        <f>_xlfn.ISOWEEKNUM(Таблица163[[#This Row],[Дата  составления  B\L Морского Судна]])</f>
        <v>10</v>
      </c>
      <c r="N39" s="35" t="str">
        <f>TEXT(Таблица163[[#This Row],[Дата  составления  B\L Морского Судна]],"МММ")</f>
        <v>мар</v>
      </c>
      <c r="O39" s="28">
        <f>YEAR(Таблица163[[#This Row],[Дата  составления  B\L Морского Судна]])</f>
        <v>2026</v>
      </c>
    </row>
    <row r="40" spans="1:15" x14ac:dyDescent="0.25">
      <c r="A40" s="38" t="s">
        <v>2</v>
      </c>
      <c r="B40" s="5" t="s">
        <v>20</v>
      </c>
      <c r="C40" s="5" t="s">
        <v>128</v>
      </c>
      <c r="D40" s="9">
        <v>3684.5790000000002</v>
      </c>
      <c r="E40" s="31"/>
      <c r="F40" s="14"/>
      <c r="G40" s="14"/>
      <c r="H40" s="31" t="s">
        <v>102</v>
      </c>
      <c r="I40" s="18">
        <v>46087</v>
      </c>
      <c r="J40" s="9" t="s">
        <v>22</v>
      </c>
      <c r="K40" s="39" t="s">
        <v>109</v>
      </c>
      <c r="L40" s="40"/>
      <c r="M40" s="28">
        <f>_xlfn.ISOWEEKNUM(Таблица163[[#This Row],[Дата  составления  B\L Морского Судна]])</f>
        <v>10</v>
      </c>
      <c r="N40" s="35" t="str">
        <f>TEXT(Таблица163[[#This Row],[Дата  составления  B\L Морского Судна]],"МММ")</f>
        <v>мар</v>
      </c>
      <c r="O40" s="28">
        <f>YEAR(Таблица163[[#This Row],[Дата  составления  B\L Морского Судна]])</f>
        <v>2026</v>
      </c>
    </row>
    <row r="41" spans="1:15" x14ac:dyDescent="0.25">
      <c r="A41" s="38" t="s">
        <v>27</v>
      </c>
      <c r="B41" s="5" t="s">
        <v>20</v>
      </c>
      <c r="C41" s="5" t="s">
        <v>128</v>
      </c>
      <c r="D41" s="9">
        <v>4268.1030000000001</v>
      </c>
      <c r="E41" s="31"/>
      <c r="F41" s="14"/>
      <c r="G41" s="14"/>
      <c r="H41" s="31" t="s">
        <v>102</v>
      </c>
      <c r="I41" s="18">
        <v>46087</v>
      </c>
      <c r="J41" s="9" t="s">
        <v>22</v>
      </c>
      <c r="K41" s="39" t="s">
        <v>110</v>
      </c>
      <c r="L41" s="40"/>
      <c r="M41" s="28">
        <f>_xlfn.ISOWEEKNUM(Таблица163[[#This Row],[Дата  составления  B\L Морского Судна]])</f>
        <v>10</v>
      </c>
      <c r="N41" s="35" t="str">
        <f>TEXT(Таблица163[[#This Row],[Дата  составления  B\L Морского Судна]],"МММ")</f>
        <v>мар</v>
      </c>
      <c r="O41" s="28">
        <f>YEAR(Таблица163[[#This Row],[Дата  составления  B\L Морского Судна]])</f>
        <v>2026</v>
      </c>
    </row>
    <row r="42" spans="1:15" x14ac:dyDescent="0.25">
      <c r="A42" s="38" t="s">
        <v>99</v>
      </c>
      <c r="B42" s="5" t="s">
        <v>20</v>
      </c>
      <c r="C42" s="5" t="s">
        <v>128</v>
      </c>
      <c r="D42" s="9">
        <v>2800.0630000000001</v>
      </c>
      <c r="E42" s="31"/>
      <c r="F42" s="14"/>
      <c r="G42" s="14"/>
      <c r="H42" s="31" t="s">
        <v>102</v>
      </c>
      <c r="I42" s="18">
        <v>46087</v>
      </c>
      <c r="J42" s="9" t="s">
        <v>22</v>
      </c>
      <c r="K42" s="42" t="s">
        <v>111</v>
      </c>
      <c r="L42" s="40"/>
      <c r="M42" s="28">
        <f>_xlfn.ISOWEEKNUM(Таблица163[[#This Row],[Дата  составления  B\L Морского Судна]])</f>
        <v>10</v>
      </c>
      <c r="N42" s="35" t="str">
        <f>TEXT(Таблица163[[#This Row],[Дата  составления  B\L Морского Судна]],"МММ")</f>
        <v>мар</v>
      </c>
      <c r="O42" s="28">
        <f>YEAR(Таблица163[[#This Row],[Дата  составления  B\L Морского Судна]])</f>
        <v>2026</v>
      </c>
    </row>
    <row r="43" spans="1:15" x14ac:dyDescent="0.25">
      <c r="A43" s="38" t="s">
        <v>5</v>
      </c>
      <c r="B43" s="5" t="s">
        <v>20</v>
      </c>
      <c r="C43" s="5" t="s">
        <v>128</v>
      </c>
      <c r="D43" s="9">
        <v>3300.1390000000001</v>
      </c>
      <c r="E43" s="31"/>
      <c r="F43" s="14"/>
      <c r="G43" s="14"/>
      <c r="H43" s="31" t="s">
        <v>15</v>
      </c>
      <c r="I43" s="18">
        <v>46098</v>
      </c>
      <c r="J43" s="9" t="s">
        <v>22</v>
      </c>
      <c r="K43" s="39" t="s">
        <v>117</v>
      </c>
      <c r="L43" s="40"/>
      <c r="M43" s="28">
        <f>_xlfn.ISOWEEKNUM(Таблица163[[#This Row],[Дата  составления  B\L Морского Судна]])</f>
        <v>12</v>
      </c>
      <c r="N43" s="35" t="str">
        <f>TEXT(Таблица163[[#This Row],[Дата  составления  B\L Морского Судна]],"МММ")</f>
        <v>мар</v>
      </c>
      <c r="O43" s="28">
        <f>YEAR(Таблица163[[#This Row],[Дата  составления  B\L Морского Судна]])</f>
        <v>2026</v>
      </c>
    </row>
    <row r="44" spans="1:15" x14ac:dyDescent="0.25">
      <c r="A44" s="38" t="s">
        <v>4</v>
      </c>
      <c r="B44" s="5" t="s">
        <v>20</v>
      </c>
      <c r="C44" s="5" t="s">
        <v>128</v>
      </c>
      <c r="D44" s="9">
        <v>4009.127</v>
      </c>
      <c r="E44" s="31"/>
      <c r="F44" s="14"/>
      <c r="G44" s="14"/>
      <c r="H44" s="31" t="s">
        <v>15</v>
      </c>
      <c r="I44" s="18">
        <v>46098</v>
      </c>
      <c r="J44" s="9" t="s">
        <v>22</v>
      </c>
      <c r="K44" s="39" t="s">
        <v>118</v>
      </c>
      <c r="L44" s="40"/>
      <c r="M44" s="28">
        <f>_xlfn.ISOWEEKNUM(Таблица163[[#This Row],[Дата  составления  B\L Морского Судна]])</f>
        <v>12</v>
      </c>
      <c r="N44" s="35" t="str">
        <f>TEXT(Таблица163[[#This Row],[Дата  составления  B\L Морского Судна]],"МММ")</f>
        <v>мар</v>
      </c>
      <c r="O44" s="28">
        <f>YEAR(Таблица163[[#This Row],[Дата  составления  B\L Морского Судна]])</f>
        <v>2026</v>
      </c>
    </row>
    <row r="45" spans="1:15" x14ac:dyDescent="0.25">
      <c r="A45" s="38" t="s">
        <v>97</v>
      </c>
      <c r="B45" s="5" t="s">
        <v>20</v>
      </c>
      <c r="C45" s="5" t="s">
        <v>128</v>
      </c>
      <c r="D45" s="9">
        <v>2879.7809999999999</v>
      </c>
      <c r="E45" s="31"/>
      <c r="F45" s="14"/>
      <c r="G45" s="14"/>
      <c r="H45" s="31" t="s">
        <v>15</v>
      </c>
      <c r="I45" s="18">
        <v>46098</v>
      </c>
      <c r="J45" s="9" t="s">
        <v>22</v>
      </c>
      <c r="K45" s="39" t="s">
        <v>119</v>
      </c>
      <c r="L45" s="40"/>
      <c r="M45" s="28">
        <f>_xlfn.ISOWEEKNUM(Таблица163[[#This Row],[Дата  составления  B\L Морского Судна]])</f>
        <v>12</v>
      </c>
      <c r="N45" s="35" t="str">
        <f>TEXT(Таблица163[[#This Row],[Дата  составления  B\L Морского Судна]],"МММ")</f>
        <v>мар</v>
      </c>
      <c r="O45" s="28">
        <f>YEAR(Таблица163[[#This Row],[Дата  составления  B\L Морского Судна]])</f>
        <v>2026</v>
      </c>
    </row>
    <row r="46" spans="1:15" x14ac:dyDescent="0.25">
      <c r="A46" s="38" t="s">
        <v>2</v>
      </c>
      <c r="B46" s="5" t="s">
        <v>20</v>
      </c>
      <c r="C46" s="5" t="s">
        <v>128</v>
      </c>
      <c r="D46" s="9">
        <v>317.01900000000001</v>
      </c>
      <c r="E46" s="31"/>
      <c r="F46" s="14"/>
      <c r="G46" s="14"/>
      <c r="H46" s="31" t="s">
        <v>15</v>
      </c>
      <c r="I46" s="18">
        <v>46098</v>
      </c>
      <c r="J46" s="9" t="s">
        <v>22</v>
      </c>
      <c r="K46" s="39" t="s">
        <v>109</v>
      </c>
      <c r="L46" s="40"/>
      <c r="M46" s="28">
        <f>_xlfn.ISOWEEKNUM(Таблица163[[#This Row],[Дата  составления  B\L Морского Судна]])</f>
        <v>12</v>
      </c>
      <c r="N46" s="35" t="str">
        <f>TEXT(Таблица163[[#This Row],[Дата  составления  B\L Морского Судна]],"МММ")</f>
        <v>мар</v>
      </c>
      <c r="O46" s="28">
        <f>YEAR(Таблица163[[#This Row],[Дата  составления  B\L Морского Судна]])</f>
        <v>2026</v>
      </c>
    </row>
    <row r="47" spans="1:15" x14ac:dyDescent="0.25">
      <c r="A47" s="38" t="s">
        <v>100</v>
      </c>
      <c r="B47" s="5" t="s">
        <v>20</v>
      </c>
      <c r="C47" s="5" t="s">
        <v>128</v>
      </c>
      <c r="D47" s="9">
        <v>4350.0519999999997</v>
      </c>
      <c r="E47" s="31"/>
      <c r="F47" s="14"/>
      <c r="G47" s="14"/>
      <c r="H47" s="31" t="s">
        <v>15</v>
      </c>
      <c r="I47" s="18">
        <v>46098</v>
      </c>
      <c r="J47" s="9" t="s">
        <v>22</v>
      </c>
      <c r="K47" s="42" t="s">
        <v>120</v>
      </c>
      <c r="L47" s="40"/>
      <c r="M47" s="28">
        <f>_xlfn.ISOWEEKNUM(Таблица163[[#This Row],[Дата  составления  B\L Морского Судна]])</f>
        <v>12</v>
      </c>
      <c r="N47" s="35" t="str">
        <f>TEXT(Таблица163[[#This Row],[Дата  составления  B\L Морского Судна]],"МММ")</f>
        <v>мар</v>
      </c>
      <c r="O47" s="28">
        <f>YEAR(Таблица163[[#This Row],[Дата  составления  B\L Морского Судна]])</f>
        <v>2026</v>
      </c>
    </row>
    <row r="48" spans="1:15" x14ac:dyDescent="0.25">
      <c r="A48" s="38" t="s">
        <v>7</v>
      </c>
      <c r="B48" s="5" t="s">
        <v>20</v>
      </c>
      <c r="C48" s="5" t="s">
        <v>128</v>
      </c>
      <c r="D48" s="9">
        <v>3235.3789999999999</v>
      </c>
      <c r="E48" s="31"/>
      <c r="F48" s="14"/>
      <c r="G48" s="14"/>
      <c r="H48" s="31" t="s">
        <v>15</v>
      </c>
      <c r="I48" s="18">
        <v>46098</v>
      </c>
      <c r="J48" s="9" t="s">
        <v>22</v>
      </c>
      <c r="K48" s="39" t="s">
        <v>121</v>
      </c>
      <c r="L48" s="40"/>
      <c r="M48" s="28">
        <f>_xlfn.ISOWEEKNUM(Таблица163[[#This Row],[Дата  составления  B\L Морского Судна]])</f>
        <v>12</v>
      </c>
      <c r="N48" s="35" t="str">
        <f>TEXT(Таблица163[[#This Row],[Дата  составления  B\L Морского Судна]],"МММ")</f>
        <v>мар</v>
      </c>
      <c r="O48" s="28">
        <f>YEAR(Таблица163[[#This Row],[Дата  составления  B\L Морского Судна]])</f>
        <v>2026</v>
      </c>
    </row>
    <row r="49" spans="1:15" x14ac:dyDescent="0.25">
      <c r="A49" s="38" t="s">
        <v>26</v>
      </c>
      <c r="B49" s="5" t="s">
        <v>20</v>
      </c>
      <c r="C49" s="5" t="s">
        <v>128</v>
      </c>
      <c r="D49" s="9">
        <v>4600.24</v>
      </c>
      <c r="E49" s="31"/>
      <c r="F49" s="14"/>
      <c r="G49" s="14"/>
      <c r="H49" s="31" t="s">
        <v>15</v>
      </c>
      <c r="I49" s="18">
        <v>46098</v>
      </c>
      <c r="J49" s="9" t="s">
        <v>22</v>
      </c>
      <c r="K49" s="39" t="s">
        <v>122</v>
      </c>
      <c r="L49" s="40"/>
      <c r="M49" s="28">
        <f>_xlfn.ISOWEEKNUM(Таблица163[[#This Row],[Дата  составления  B\L Морского Судна]])</f>
        <v>12</v>
      </c>
      <c r="N49" s="35" t="str">
        <f>TEXT(Таблица163[[#This Row],[Дата  составления  B\L Морского Судна]],"МММ")</f>
        <v>мар</v>
      </c>
      <c r="O49" s="28">
        <f>YEAR(Таблица163[[#This Row],[Дата  составления  B\L Морского Судна]])</f>
        <v>2026</v>
      </c>
    </row>
    <row r="50" spans="1:15" x14ac:dyDescent="0.25">
      <c r="A50" s="38" t="s">
        <v>98</v>
      </c>
      <c r="B50" s="5" t="s">
        <v>20</v>
      </c>
      <c r="C50" s="5" t="s">
        <v>128</v>
      </c>
      <c r="D50" s="9">
        <v>3725.46</v>
      </c>
      <c r="E50" s="31"/>
      <c r="F50" s="14"/>
      <c r="G50" s="14"/>
      <c r="H50" s="31" t="s">
        <v>15</v>
      </c>
      <c r="I50" s="18">
        <v>46098</v>
      </c>
      <c r="J50" s="9" t="s">
        <v>22</v>
      </c>
      <c r="K50" s="39" t="s">
        <v>123</v>
      </c>
      <c r="L50" s="40"/>
      <c r="M50" s="28">
        <f>_xlfn.ISOWEEKNUM(Таблица163[[#This Row],[Дата  составления  B\L Морского Судна]])</f>
        <v>12</v>
      </c>
      <c r="N50" s="35" t="str">
        <f>TEXT(Таблица163[[#This Row],[Дата  составления  B\L Морского Судна]],"МММ")</f>
        <v>мар</v>
      </c>
      <c r="O50" s="28">
        <f>YEAR(Таблица163[[#This Row],[Дата  составления  B\L Морского Судна]])</f>
        <v>2026</v>
      </c>
    </row>
    <row r="51" spans="1:15" x14ac:dyDescent="0.25">
      <c r="A51" s="38" t="s">
        <v>99</v>
      </c>
      <c r="B51" s="5" t="s">
        <v>20</v>
      </c>
      <c r="C51" s="5" t="s">
        <v>128</v>
      </c>
      <c r="D51" s="9">
        <v>2802.13</v>
      </c>
      <c r="E51" s="31"/>
      <c r="F51" s="14"/>
      <c r="G51" s="14"/>
      <c r="H51" s="31" t="s">
        <v>15</v>
      </c>
      <c r="I51" s="18">
        <v>46098</v>
      </c>
      <c r="J51" s="9" t="s">
        <v>22</v>
      </c>
      <c r="K51" s="42" t="s">
        <v>124</v>
      </c>
      <c r="L51" s="40"/>
      <c r="M51" s="28">
        <f>_xlfn.ISOWEEKNUM(Таблица163[[#This Row],[Дата  составления  B\L Морского Судна]])</f>
        <v>12</v>
      </c>
      <c r="N51" s="35" t="str">
        <f>TEXT(Таблица163[[#This Row],[Дата  составления  B\L Морского Судна]],"МММ")</f>
        <v>мар</v>
      </c>
      <c r="O51" s="28">
        <f>YEAR(Таблица163[[#This Row],[Дата  составления  B\L Морского Судна]])</f>
        <v>2026</v>
      </c>
    </row>
    <row r="52" spans="1:15" x14ac:dyDescent="0.25">
      <c r="A52" s="38" t="s">
        <v>11</v>
      </c>
      <c r="B52" s="5" t="s">
        <v>20</v>
      </c>
      <c r="C52" s="5" t="s">
        <v>128</v>
      </c>
      <c r="D52" s="9">
        <v>4751.2169999999996</v>
      </c>
      <c r="E52" s="31"/>
      <c r="F52" s="14"/>
      <c r="G52" s="14"/>
      <c r="H52" s="31" t="s">
        <v>15</v>
      </c>
      <c r="I52" s="18">
        <v>46098</v>
      </c>
      <c r="J52" s="9" t="s">
        <v>22</v>
      </c>
      <c r="K52" s="42" t="s">
        <v>125</v>
      </c>
      <c r="L52" s="40"/>
      <c r="M52" s="28">
        <f>_xlfn.ISOWEEKNUM(Таблица163[[#This Row],[Дата  составления  B\L Морского Судна]])</f>
        <v>12</v>
      </c>
      <c r="N52" s="35" t="str">
        <f>TEXT(Таблица163[[#This Row],[Дата  составления  B\L Морского Судна]],"МММ")</f>
        <v>мар</v>
      </c>
      <c r="O52" s="28">
        <f>YEAR(Таблица163[[#This Row],[Дата  составления  B\L Морского Судна]])</f>
        <v>2026</v>
      </c>
    </row>
    <row r="53" spans="1:15" x14ac:dyDescent="0.25">
      <c r="A53" s="38" t="s">
        <v>4</v>
      </c>
      <c r="B53" s="5" t="s">
        <v>20</v>
      </c>
      <c r="C53" s="5" t="s">
        <v>128</v>
      </c>
      <c r="D53" s="9">
        <v>2727.51</v>
      </c>
      <c r="E53" s="31"/>
      <c r="F53" s="14"/>
      <c r="G53" s="14"/>
      <c r="H53" s="31" t="s">
        <v>15</v>
      </c>
      <c r="I53" s="18">
        <v>46098</v>
      </c>
      <c r="J53" s="9" t="s">
        <v>22</v>
      </c>
      <c r="K53" s="39" t="s">
        <v>126</v>
      </c>
      <c r="L53" s="40"/>
      <c r="M53" s="28">
        <f>_xlfn.ISOWEEKNUM(Таблица163[[#This Row],[Дата  составления  B\L Морского Судна]])</f>
        <v>12</v>
      </c>
      <c r="N53" s="35" t="str">
        <f>TEXT(Таблица163[[#This Row],[Дата  составления  B\L Морского Судна]],"МММ")</f>
        <v>мар</v>
      </c>
      <c r="O53" s="28">
        <f>YEAR(Таблица163[[#This Row],[Дата  составления  B\L Морского Судна]])</f>
        <v>2026</v>
      </c>
    </row>
    <row r="54" spans="1:15" x14ac:dyDescent="0.25">
      <c r="A54" s="38" t="s">
        <v>5</v>
      </c>
      <c r="B54" s="5" t="s">
        <v>20</v>
      </c>
      <c r="C54" s="5" t="s">
        <v>128</v>
      </c>
      <c r="D54" s="9">
        <v>3301.9459999999999</v>
      </c>
      <c r="E54" s="31"/>
      <c r="F54" s="14"/>
      <c r="G54" s="14"/>
      <c r="H54" s="31" t="s">
        <v>15</v>
      </c>
      <c r="I54" s="18">
        <v>46098</v>
      </c>
      <c r="J54" s="9" t="s">
        <v>22</v>
      </c>
      <c r="K54" s="42" t="s">
        <v>127</v>
      </c>
      <c r="L54" s="40"/>
      <c r="M54" s="28">
        <f>_xlfn.ISOWEEKNUM(Таблица163[[#This Row],[Дата  составления  B\L Морского Судна]])</f>
        <v>12</v>
      </c>
      <c r="N54" s="35" t="str">
        <f>TEXT(Таблица163[[#This Row],[Дата  составления  B\L Морского Судна]],"МММ")</f>
        <v>мар</v>
      </c>
      <c r="O54" s="28">
        <f>YEAR(Таблица163[[#This Row],[Дата  составления  B\L Морского Судна]])</f>
        <v>2026</v>
      </c>
    </row>
    <row r="55" spans="1:15" x14ac:dyDescent="0.25">
      <c r="A55" s="38" t="s">
        <v>2</v>
      </c>
      <c r="B55" s="5" t="s">
        <v>20</v>
      </c>
      <c r="C55" s="5" t="s">
        <v>129</v>
      </c>
      <c r="D55" s="9">
        <v>4019.038</v>
      </c>
      <c r="E55" s="31"/>
      <c r="F55" s="14"/>
      <c r="G55" s="14"/>
      <c r="H55" s="31" t="s">
        <v>59</v>
      </c>
      <c r="I55" s="18">
        <v>46108</v>
      </c>
      <c r="J55" s="9" t="s">
        <v>22</v>
      </c>
      <c r="K55" s="39" t="s">
        <v>134</v>
      </c>
      <c r="L55" s="40"/>
      <c r="M55" s="28">
        <f>_xlfn.ISOWEEKNUM(Таблица163[[#This Row],[Дата  составления  B\L Морского Судна]])</f>
        <v>13</v>
      </c>
      <c r="N55" s="35" t="str">
        <f>TEXT(Таблица163[[#This Row],[Дата  составления  B\L Морского Судна]],"МММ")</f>
        <v>мар</v>
      </c>
      <c r="O55" s="28">
        <f>YEAR(Таблица163[[#This Row],[Дата  составления  B\L Морского Судна]])</f>
        <v>2026</v>
      </c>
    </row>
    <row r="56" spans="1:15" x14ac:dyDescent="0.25">
      <c r="A56" s="38" t="s">
        <v>4</v>
      </c>
      <c r="B56" s="5" t="s">
        <v>20</v>
      </c>
      <c r="C56" s="5" t="s">
        <v>129</v>
      </c>
      <c r="D56" s="9">
        <v>1287.9169999999999</v>
      </c>
      <c r="E56" s="31"/>
      <c r="F56" s="14"/>
      <c r="G56" s="14"/>
      <c r="H56" s="31" t="s">
        <v>59</v>
      </c>
      <c r="I56" s="18">
        <v>46108</v>
      </c>
      <c r="J56" s="9" t="s">
        <v>22</v>
      </c>
      <c r="K56" s="39" t="s">
        <v>126</v>
      </c>
      <c r="L56" s="40"/>
      <c r="M56" s="28">
        <f>_xlfn.ISOWEEKNUM(Таблица163[[#This Row],[Дата  составления  B\L Морского Судна]])</f>
        <v>13</v>
      </c>
      <c r="N56" s="35" t="str">
        <f>TEXT(Таблица163[[#This Row],[Дата  составления  B\L Морского Судна]],"МММ")</f>
        <v>мар</v>
      </c>
      <c r="O56" s="28">
        <f>YEAR(Таблица163[[#This Row],[Дата  составления  B\L Морского Судна]])</f>
        <v>2026</v>
      </c>
    </row>
    <row r="57" spans="1:15" x14ac:dyDescent="0.25">
      <c r="A57" s="38" t="s">
        <v>114</v>
      </c>
      <c r="B57" s="5" t="s">
        <v>20</v>
      </c>
      <c r="C57" s="5" t="s">
        <v>129</v>
      </c>
      <c r="D57" s="9">
        <v>4610.7539999999999</v>
      </c>
      <c r="E57" s="31"/>
      <c r="F57" s="14"/>
      <c r="G57" s="14"/>
      <c r="H57" s="31" t="s">
        <v>59</v>
      </c>
      <c r="I57" s="18">
        <v>46108</v>
      </c>
      <c r="J57" s="9" t="s">
        <v>22</v>
      </c>
      <c r="K57" s="39" t="s">
        <v>135</v>
      </c>
      <c r="L57" s="40"/>
      <c r="M57" s="28">
        <f>_xlfn.ISOWEEKNUM(Таблица163[[#This Row],[Дата  составления  B\L Морского Судна]])</f>
        <v>13</v>
      </c>
      <c r="N57" s="35" t="str">
        <f>TEXT(Таблица163[[#This Row],[Дата  составления  B\L Морского Судна]],"МММ")</f>
        <v>мар</v>
      </c>
      <c r="O57" s="28">
        <f>YEAR(Таблица163[[#This Row],[Дата  составления  B\L Морского Судна]])</f>
        <v>2026</v>
      </c>
    </row>
    <row r="58" spans="1:15" x14ac:dyDescent="0.25">
      <c r="A58" s="38" t="s">
        <v>98</v>
      </c>
      <c r="B58" s="5" t="s">
        <v>20</v>
      </c>
      <c r="C58" s="5" t="s">
        <v>129</v>
      </c>
      <c r="D58" s="9">
        <v>3700.7159999999999</v>
      </c>
      <c r="E58" s="31"/>
      <c r="F58" s="14"/>
      <c r="G58" s="14"/>
      <c r="H58" s="31" t="s">
        <v>59</v>
      </c>
      <c r="I58" s="18">
        <v>46108</v>
      </c>
      <c r="J58" s="9" t="s">
        <v>22</v>
      </c>
      <c r="K58" s="39" t="s">
        <v>136</v>
      </c>
      <c r="L58" s="40"/>
      <c r="M58" s="28">
        <f>_xlfn.ISOWEEKNUM(Таблица163[[#This Row],[Дата  составления  B\L Морского Судна]])</f>
        <v>13</v>
      </c>
      <c r="N58" s="35" t="str">
        <f>TEXT(Таблица163[[#This Row],[Дата  составления  B\L Морского Судна]],"МММ")</f>
        <v>мар</v>
      </c>
      <c r="O58" s="28">
        <f>YEAR(Таблица163[[#This Row],[Дата  составления  B\L Морского Судна]])</f>
        <v>2026</v>
      </c>
    </row>
    <row r="59" spans="1:15" x14ac:dyDescent="0.25">
      <c r="A59" s="38" t="s">
        <v>99</v>
      </c>
      <c r="B59" s="5" t="s">
        <v>20</v>
      </c>
      <c r="C59" s="5" t="s">
        <v>129</v>
      </c>
      <c r="D59" s="9">
        <v>2800.1619999999998</v>
      </c>
      <c r="E59" s="31"/>
      <c r="F59" s="14"/>
      <c r="G59" s="14"/>
      <c r="H59" s="31" t="s">
        <v>59</v>
      </c>
      <c r="I59" s="18">
        <v>46108</v>
      </c>
      <c r="J59" s="9" t="s">
        <v>22</v>
      </c>
      <c r="K59" s="39" t="s">
        <v>137</v>
      </c>
      <c r="L59" s="40"/>
      <c r="M59" s="28">
        <f>_xlfn.ISOWEEKNUM(Таблица163[[#This Row],[Дата  составления  B\L Морского Судна]])</f>
        <v>13</v>
      </c>
      <c r="N59" s="35" t="str">
        <f>TEXT(Таблица163[[#This Row],[Дата  составления  B\L Морского Судна]],"МММ")</f>
        <v>мар</v>
      </c>
      <c r="O59" s="28">
        <f>YEAR(Таблица163[[#This Row],[Дата  составления  B\L Морского Судна]])</f>
        <v>2026</v>
      </c>
    </row>
    <row r="60" spans="1:15" x14ac:dyDescent="0.25">
      <c r="A60" s="38" t="s">
        <v>11</v>
      </c>
      <c r="B60" s="5" t="s">
        <v>20</v>
      </c>
      <c r="C60" s="5" t="s">
        <v>129</v>
      </c>
      <c r="D60" s="9">
        <v>2564.6990000000001</v>
      </c>
      <c r="E60" s="31"/>
      <c r="F60" s="14"/>
      <c r="G60" s="14"/>
      <c r="H60" s="31" t="s">
        <v>59</v>
      </c>
      <c r="I60" s="18">
        <v>46108</v>
      </c>
      <c r="J60" s="9" t="s">
        <v>22</v>
      </c>
      <c r="K60" s="39" t="s">
        <v>138</v>
      </c>
      <c r="L60" s="40"/>
      <c r="M60" s="28">
        <f>_xlfn.ISOWEEKNUM(Таблица163[[#This Row],[Дата  составления  B\L Морского Судна]])</f>
        <v>13</v>
      </c>
      <c r="N60" s="35" t="str">
        <f>TEXT(Таблица163[[#This Row],[Дата  составления  B\L Морского Судна]],"МММ")</f>
        <v>мар</v>
      </c>
      <c r="O60" s="28">
        <f>YEAR(Таблица163[[#This Row],[Дата  составления  B\L Морского Судна]])</f>
        <v>2026</v>
      </c>
    </row>
    <row r="61" spans="1:15" x14ac:dyDescent="0.25">
      <c r="A61" s="38" t="s">
        <v>133</v>
      </c>
      <c r="B61" s="5" t="s">
        <v>20</v>
      </c>
      <c r="C61" s="5" t="s">
        <v>128</v>
      </c>
      <c r="D61" s="9">
        <v>4800</v>
      </c>
      <c r="E61" s="31"/>
      <c r="F61" s="14"/>
      <c r="G61" s="14"/>
      <c r="H61" s="31" t="s">
        <v>141</v>
      </c>
      <c r="I61" s="18">
        <v>46118</v>
      </c>
      <c r="J61" s="9" t="s">
        <v>22</v>
      </c>
      <c r="K61" s="39" t="s">
        <v>140</v>
      </c>
      <c r="L61" s="40"/>
      <c r="M61" s="28">
        <f>_xlfn.ISOWEEKNUM(Таблица163[[#This Row],[Дата  составления  B\L Морского Судна]])</f>
        <v>15</v>
      </c>
      <c r="N61" s="35" t="str">
        <f>TEXT(Таблица163[[#This Row],[Дата  составления  B\L Морского Судна]],"МММ")</f>
        <v>апр</v>
      </c>
      <c r="O61" s="28">
        <f>YEAR(Таблица163[[#This Row],[Дата  составления  B\L Морского Судна]])</f>
        <v>2026</v>
      </c>
    </row>
    <row r="62" spans="1:15" x14ac:dyDescent="0.25">
      <c r="A62" s="38" t="s">
        <v>2</v>
      </c>
      <c r="B62" s="5" t="s">
        <v>20</v>
      </c>
      <c r="C62" s="5" t="s">
        <v>128</v>
      </c>
      <c r="D62" s="9">
        <v>4053.0749999999998</v>
      </c>
      <c r="E62" s="31"/>
      <c r="F62" s="14"/>
      <c r="G62" s="14"/>
      <c r="H62" s="31" t="s">
        <v>141</v>
      </c>
      <c r="I62" s="18">
        <v>46118</v>
      </c>
      <c r="J62" s="9" t="s">
        <v>22</v>
      </c>
      <c r="K62" s="39" t="s">
        <v>142</v>
      </c>
      <c r="L62" s="40"/>
      <c r="M62" s="28">
        <f>_xlfn.ISOWEEKNUM(Таблица163[[#This Row],[Дата  составления  B\L Морского Судна]])</f>
        <v>15</v>
      </c>
      <c r="N62" s="35" t="str">
        <f>TEXT(Таблица163[[#This Row],[Дата  составления  B\L Морского Судна]],"МММ")</f>
        <v>апр</v>
      </c>
      <c r="O62" s="28">
        <f>YEAR(Таблица163[[#This Row],[Дата  составления  B\L Морского Судна]])</f>
        <v>2026</v>
      </c>
    </row>
    <row r="63" spans="1:15" x14ac:dyDescent="0.25">
      <c r="A63" s="38" t="s">
        <v>132</v>
      </c>
      <c r="B63" s="5" t="s">
        <v>20</v>
      </c>
      <c r="C63" s="5" t="s">
        <v>129</v>
      </c>
      <c r="D63" s="9">
        <v>1491.796</v>
      </c>
      <c r="E63" s="31"/>
      <c r="F63" s="14"/>
      <c r="G63" s="14"/>
      <c r="H63" s="31" t="s">
        <v>141</v>
      </c>
      <c r="I63" s="18">
        <v>46118</v>
      </c>
      <c r="J63" s="9" t="s">
        <v>22</v>
      </c>
      <c r="K63" s="39" t="s">
        <v>143</v>
      </c>
      <c r="L63" s="40"/>
      <c r="M63" s="28">
        <f>_xlfn.ISOWEEKNUM(Таблица163[[#This Row],[Дата  составления  B\L Морского Судна]])</f>
        <v>15</v>
      </c>
      <c r="N63" s="35" t="str">
        <f>TEXT(Таблица163[[#This Row],[Дата  составления  B\L Морского Судна]],"МММ")</f>
        <v>апр</v>
      </c>
      <c r="O63" s="28">
        <f>YEAR(Таблица163[[#This Row],[Дата  составления  B\L Морского Судна]])</f>
        <v>2026</v>
      </c>
    </row>
    <row r="64" spans="1:15" x14ac:dyDescent="0.25">
      <c r="G64" t="s">
        <v>52</v>
      </c>
    </row>
  </sheetData>
  <pageMargins left="0.7" right="0.7" top="0.75" bottom="0.75" header="0.3" footer="0.3"/>
  <pageSetup paperSize="9" orientation="portrait" r:id="rId1"/>
  <ignoredErrors>
    <ignoredError sqref="K8:K62 K63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Список!$G$1:$G$2</xm:f>
          </x14:formula1>
          <xm:sqref>E8:E63</xm:sqref>
        </x14:dataValidation>
        <x14:dataValidation type="list" allowBlank="1" showInputMessage="1" showErrorMessage="1">
          <x14:formula1>
            <xm:f>Список!$H$1:$H$4</xm:f>
          </x14:formula1>
          <xm:sqref>C8:C1048576</xm:sqref>
        </x14:dataValidation>
        <x14:dataValidation type="list" allowBlank="1" showInputMessage="1" showErrorMessage="1">
          <x14:formula1>
            <xm:f>Список!$D$1:$D$10</xm:f>
          </x14:formula1>
          <xm:sqref>H8:H1048576</xm:sqref>
        </x14:dataValidation>
        <x14:dataValidation type="list" allowBlank="1" showInputMessage="1" showErrorMessage="1">
          <x14:formula1>
            <xm:f>Список!$C$1:$C$38</xm:f>
          </x14:formula1>
          <xm:sqref>A8:A1048576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8:I64"/>
  <sheetViews>
    <sheetView tabSelected="1" workbookViewId="0">
      <selection activeCell="E39" sqref="E39"/>
    </sheetView>
  </sheetViews>
  <sheetFormatPr defaultRowHeight="15" x14ac:dyDescent="0.25"/>
  <cols>
    <col min="1" max="1" width="25" customWidth="1"/>
    <col min="2" max="2" width="29.28515625" customWidth="1"/>
    <col min="3" max="3" width="31.7109375" customWidth="1"/>
    <col min="4" max="4" width="32.42578125" style="21" customWidth="1"/>
    <col min="5" max="5" width="21.7109375" customWidth="1"/>
    <col min="6" max="6" width="28" customWidth="1"/>
    <col min="7" max="7" width="19.42578125" style="21" customWidth="1"/>
    <col min="8" max="8" width="16.140625" customWidth="1"/>
    <col min="9" max="9" width="12.85546875" customWidth="1"/>
    <col min="10" max="10" width="12.85546875" bestFit="1" customWidth="1"/>
    <col min="11" max="11" width="11.85546875" bestFit="1" customWidth="1"/>
  </cols>
  <sheetData>
    <row r="8" spans="2:9" ht="45" x14ac:dyDescent="0.25">
      <c r="B8" s="33" t="s">
        <v>66</v>
      </c>
      <c r="C8" s="33" t="s">
        <v>113</v>
      </c>
      <c r="D8" s="33" t="s">
        <v>79</v>
      </c>
      <c r="E8" s="25" t="s">
        <v>78</v>
      </c>
      <c r="F8" s="33" t="s">
        <v>112</v>
      </c>
      <c r="G8" s="26" t="s">
        <v>80</v>
      </c>
      <c r="H8" s="26" t="s">
        <v>81</v>
      </c>
      <c r="I8" s="30" t="s">
        <v>82</v>
      </c>
    </row>
    <row r="9" spans="2:9" x14ac:dyDescent="0.25">
      <c r="B9" t="s">
        <v>102</v>
      </c>
      <c r="C9" t="s">
        <v>22</v>
      </c>
      <c r="D9" s="21" t="s">
        <v>2</v>
      </c>
      <c r="E9" s="21" t="s">
        <v>23</v>
      </c>
      <c r="F9" t="s">
        <v>22</v>
      </c>
      <c r="G9" s="47">
        <v>46049</v>
      </c>
      <c r="H9">
        <v>4001.7570000000001</v>
      </c>
      <c r="I9" s="10">
        <v>429.392</v>
      </c>
    </row>
    <row r="10" spans="2:9" x14ac:dyDescent="0.25">
      <c r="B10" t="s">
        <v>102</v>
      </c>
      <c r="C10" t="s">
        <v>22</v>
      </c>
      <c r="D10" s="21" t="s">
        <v>2</v>
      </c>
      <c r="E10" s="21" t="s">
        <v>23</v>
      </c>
      <c r="F10" t="s">
        <v>22</v>
      </c>
      <c r="G10" s="47">
        <v>46069</v>
      </c>
      <c r="H10">
        <v>4034.2849999999999</v>
      </c>
      <c r="I10" s="10">
        <v>4034.2849999999999</v>
      </c>
    </row>
    <row r="11" spans="2:9" x14ac:dyDescent="0.25">
      <c r="B11" t="s">
        <v>102</v>
      </c>
      <c r="C11" t="s">
        <v>22</v>
      </c>
      <c r="D11" s="21" t="s">
        <v>2</v>
      </c>
      <c r="E11" s="21" t="s">
        <v>23</v>
      </c>
      <c r="F11" t="s">
        <v>22</v>
      </c>
      <c r="G11" s="47">
        <v>46081</v>
      </c>
      <c r="H11">
        <v>4001.598</v>
      </c>
      <c r="I11" s="10">
        <v>3684.5790000000002</v>
      </c>
    </row>
    <row r="12" spans="2:9" x14ac:dyDescent="0.25">
      <c r="B12" t="s">
        <v>102</v>
      </c>
      <c r="C12" t="s">
        <v>22</v>
      </c>
      <c r="D12" t="s">
        <v>7</v>
      </c>
      <c r="E12" s="21" t="s">
        <v>23</v>
      </c>
      <c r="F12" t="s">
        <v>22</v>
      </c>
      <c r="G12" s="47">
        <v>46077</v>
      </c>
      <c r="H12">
        <v>3235.8980000000001</v>
      </c>
      <c r="I12" s="10">
        <v>3235.8980000000001</v>
      </c>
    </row>
    <row r="13" spans="2:9" x14ac:dyDescent="0.25">
      <c r="B13" t="s">
        <v>102</v>
      </c>
      <c r="C13" t="s">
        <v>22</v>
      </c>
      <c r="D13" t="s">
        <v>5</v>
      </c>
      <c r="E13" s="21" t="s">
        <v>139</v>
      </c>
      <c r="F13" t="s">
        <v>22</v>
      </c>
      <c r="G13" s="47">
        <v>46049</v>
      </c>
      <c r="H13">
        <v>3008.0459999999998</v>
      </c>
      <c r="I13" s="10">
        <v>3008.0459999999998</v>
      </c>
    </row>
    <row r="14" spans="2:9" x14ac:dyDescent="0.25">
      <c r="B14" t="s">
        <v>102</v>
      </c>
      <c r="C14" t="s">
        <v>22</v>
      </c>
      <c r="D14" t="s">
        <v>5</v>
      </c>
      <c r="E14" s="21" t="s">
        <v>23</v>
      </c>
      <c r="F14" t="s">
        <v>22</v>
      </c>
      <c r="G14" s="47">
        <v>46067</v>
      </c>
      <c r="H14">
        <v>3299.5250000000001</v>
      </c>
      <c r="I14" s="10">
        <v>3299.5250000000001</v>
      </c>
    </row>
    <row r="15" spans="2:9" x14ac:dyDescent="0.25">
      <c r="B15" t="s">
        <v>102</v>
      </c>
      <c r="C15" t="s">
        <v>22</v>
      </c>
      <c r="D15" s="21" t="s">
        <v>99</v>
      </c>
      <c r="E15" s="21" t="s">
        <v>23</v>
      </c>
      <c r="F15" t="s">
        <v>22</v>
      </c>
      <c r="G15" s="47">
        <v>46082</v>
      </c>
      <c r="H15">
        <v>2800.0630000000001</v>
      </c>
      <c r="I15" s="10">
        <v>2800.0630000000001</v>
      </c>
    </row>
    <row r="16" spans="2:9" x14ac:dyDescent="0.25">
      <c r="B16" t="s">
        <v>102</v>
      </c>
      <c r="C16" t="s">
        <v>22</v>
      </c>
      <c r="D16" t="s">
        <v>26</v>
      </c>
      <c r="E16" s="21" t="s">
        <v>23</v>
      </c>
      <c r="F16" t="s">
        <v>22</v>
      </c>
      <c r="G16" s="47">
        <v>46054</v>
      </c>
      <c r="H16">
        <v>4300.5600000000004</v>
      </c>
      <c r="I16" s="10">
        <v>4300.5600000000004</v>
      </c>
    </row>
    <row r="17" spans="2:9" x14ac:dyDescent="0.25">
      <c r="B17" t="s">
        <v>102</v>
      </c>
      <c r="C17" t="s">
        <v>22</v>
      </c>
      <c r="D17" t="s">
        <v>27</v>
      </c>
      <c r="E17" t="s">
        <v>23</v>
      </c>
      <c r="F17" t="s">
        <v>22</v>
      </c>
      <c r="G17" s="47">
        <v>46080</v>
      </c>
      <c r="H17">
        <v>4268.1030000000001</v>
      </c>
      <c r="I17" s="10">
        <v>4268.1030000000001</v>
      </c>
    </row>
    <row r="18" spans="2:9" x14ac:dyDescent="0.25">
      <c r="B18" t="s">
        <v>102</v>
      </c>
      <c r="C18" t="s">
        <v>22</v>
      </c>
      <c r="D18" t="s">
        <v>6</v>
      </c>
      <c r="E18" t="s">
        <v>130</v>
      </c>
      <c r="F18" t="s">
        <v>22</v>
      </c>
      <c r="G18" s="47">
        <v>46038</v>
      </c>
      <c r="H18">
        <v>3080.8</v>
      </c>
      <c r="I18" s="10">
        <v>3080.8</v>
      </c>
    </row>
    <row r="19" spans="2:9" x14ac:dyDescent="0.25">
      <c r="B19" t="s">
        <v>15</v>
      </c>
      <c r="C19" t="s">
        <v>22</v>
      </c>
      <c r="D19" s="21" t="s">
        <v>11</v>
      </c>
      <c r="E19" s="21" t="s">
        <v>23</v>
      </c>
      <c r="F19" t="s">
        <v>22</v>
      </c>
      <c r="G19" s="47">
        <v>46091</v>
      </c>
      <c r="H19">
        <v>4751.2169999999996</v>
      </c>
      <c r="I19" s="10">
        <v>4751.2169999999996</v>
      </c>
    </row>
    <row r="20" spans="2:9" x14ac:dyDescent="0.25">
      <c r="B20" t="s">
        <v>15</v>
      </c>
      <c r="C20" t="s">
        <v>22</v>
      </c>
      <c r="D20" s="21" t="s">
        <v>2</v>
      </c>
      <c r="E20" s="21" t="s">
        <v>23</v>
      </c>
      <c r="F20" t="s">
        <v>22</v>
      </c>
      <c r="G20" s="47">
        <v>46081</v>
      </c>
      <c r="H20">
        <v>4001.598</v>
      </c>
      <c r="I20" s="10">
        <v>317.01900000000001</v>
      </c>
    </row>
    <row r="21" spans="2:9" x14ac:dyDescent="0.25">
      <c r="B21" t="s">
        <v>15</v>
      </c>
      <c r="C21" t="s">
        <v>22</v>
      </c>
      <c r="D21" t="s">
        <v>7</v>
      </c>
      <c r="E21" s="21" t="s">
        <v>23</v>
      </c>
      <c r="F21" t="s">
        <v>22</v>
      </c>
      <c r="G21" s="47">
        <v>46090</v>
      </c>
      <c r="H21">
        <v>3235.3490000000002</v>
      </c>
      <c r="I21" s="10">
        <v>3235.3789999999999</v>
      </c>
    </row>
    <row r="22" spans="2:9" x14ac:dyDescent="0.25">
      <c r="B22" t="s">
        <v>15</v>
      </c>
      <c r="C22" t="s">
        <v>22</v>
      </c>
      <c r="D22" t="s">
        <v>5</v>
      </c>
      <c r="E22" s="21" t="s">
        <v>139</v>
      </c>
      <c r="F22" t="s">
        <v>22</v>
      </c>
      <c r="G22" s="47">
        <v>46082</v>
      </c>
      <c r="H22">
        <v>3300.1390000000001</v>
      </c>
      <c r="I22" s="10">
        <v>3300.1390000000001</v>
      </c>
    </row>
    <row r="23" spans="2:9" x14ac:dyDescent="0.25">
      <c r="B23" t="s">
        <v>15</v>
      </c>
      <c r="C23" t="s">
        <v>22</v>
      </c>
      <c r="D23" t="s">
        <v>5</v>
      </c>
      <c r="E23" s="21" t="s">
        <v>23</v>
      </c>
      <c r="F23" t="s">
        <v>22</v>
      </c>
      <c r="G23" s="47">
        <v>46091</v>
      </c>
      <c r="H23">
        <v>3301.9459999999999</v>
      </c>
      <c r="I23" s="10">
        <v>3301.9459999999999</v>
      </c>
    </row>
    <row r="24" spans="2:9" x14ac:dyDescent="0.25">
      <c r="B24" t="s">
        <v>15</v>
      </c>
      <c r="C24" t="s">
        <v>22</v>
      </c>
      <c r="D24" s="21" t="s">
        <v>99</v>
      </c>
      <c r="E24" s="21" t="s">
        <v>139</v>
      </c>
      <c r="F24" t="s">
        <v>22</v>
      </c>
      <c r="G24" s="47">
        <v>46090</v>
      </c>
      <c r="H24">
        <v>2802.13</v>
      </c>
      <c r="I24" s="10">
        <v>2802.13</v>
      </c>
    </row>
    <row r="25" spans="2:9" x14ac:dyDescent="0.25">
      <c r="B25" t="s">
        <v>15</v>
      </c>
      <c r="C25" t="s">
        <v>22</v>
      </c>
      <c r="D25" t="s">
        <v>26</v>
      </c>
      <c r="E25" s="21" t="s">
        <v>23</v>
      </c>
      <c r="F25" t="s">
        <v>22</v>
      </c>
      <c r="G25" s="47">
        <v>46088</v>
      </c>
      <c r="H25">
        <v>4600.24</v>
      </c>
      <c r="I25" s="10">
        <v>4600.24</v>
      </c>
    </row>
    <row r="26" spans="2:9" x14ac:dyDescent="0.25">
      <c r="B26" t="s">
        <v>15</v>
      </c>
      <c r="C26" t="s">
        <v>22</v>
      </c>
      <c r="D26" s="21" t="s">
        <v>4</v>
      </c>
      <c r="E26" t="s">
        <v>23</v>
      </c>
      <c r="F26" t="s">
        <v>22</v>
      </c>
      <c r="G26" s="47">
        <v>46092</v>
      </c>
      <c r="H26">
        <v>4015.4270000000001</v>
      </c>
      <c r="I26" s="10">
        <v>2727.51</v>
      </c>
    </row>
    <row r="27" spans="2:9" x14ac:dyDescent="0.25">
      <c r="B27" t="s">
        <v>15</v>
      </c>
      <c r="C27" t="s">
        <v>22</v>
      </c>
      <c r="D27" s="21" t="s">
        <v>4</v>
      </c>
      <c r="E27" t="s">
        <v>23</v>
      </c>
      <c r="F27" t="s">
        <v>22</v>
      </c>
      <c r="G27" s="47">
        <v>46083</v>
      </c>
      <c r="H27">
        <v>4009.127</v>
      </c>
      <c r="I27" s="10">
        <v>4009.127</v>
      </c>
    </row>
    <row r="28" spans="2:9" x14ac:dyDescent="0.25">
      <c r="B28" t="s">
        <v>15</v>
      </c>
      <c r="C28" t="s">
        <v>22</v>
      </c>
      <c r="D28" s="21" t="s">
        <v>98</v>
      </c>
      <c r="E28" t="s">
        <v>23</v>
      </c>
      <c r="F28" t="s">
        <v>22</v>
      </c>
      <c r="G28" s="47">
        <v>46089</v>
      </c>
      <c r="H28">
        <v>3725.46</v>
      </c>
      <c r="I28" s="10">
        <v>3725.46</v>
      </c>
    </row>
    <row r="29" spans="2:9" x14ac:dyDescent="0.25">
      <c r="B29" t="s">
        <v>15</v>
      </c>
      <c r="C29" t="s">
        <v>22</v>
      </c>
      <c r="D29" t="s">
        <v>97</v>
      </c>
      <c r="E29" t="s">
        <v>23</v>
      </c>
      <c r="F29" t="s">
        <v>22</v>
      </c>
      <c r="G29" s="47">
        <v>46086</v>
      </c>
      <c r="H29">
        <v>2879.7809999999999</v>
      </c>
      <c r="I29" s="10">
        <v>2879.7809999999999</v>
      </c>
    </row>
    <row r="30" spans="2:9" x14ac:dyDescent="0.25">
      <c r="B30" t="s">
        <v>15</v>
      </c>
      <c r="C30" t="s">
        <v>22</v>
      </c>
      <c r="D30" t="s">
        <v>100</v>
      </c>
      <c r="E30" t="s">
        <v>23</v>
      </c>
      <c r="F30" t="s">
        <v>22</v>
      </c>
      <c r="G30" s="47">
        <v>46088</v>
      </c>
      <c r="H30">
        <v>4350.0519999999997</v>
      </c>
      <c r="I30" s="10">
        <v>4350.0519999999997</v>
      </c>
    </row>
    <row r="31" spans="2:9" x14ac:dyDescent="0.25">
      <c r="B31" t="s">
        <v>144</v>
      </c>
      <c r="C31" t="s">
        <v>22</v>
      </c>
      <c r="D31" s="21" t="s">
        <v>11</v>
      </c>
      <c r="E31" s="21" t="s">
        <v>139</v>
      </c>
      <c r="F31" t="s">
        <v>22</v>
      </c>
      <c r="G31" s="47">
        <v>46099</v>
      </c>
      <c r="H31">
        <v>4756.9629999999997</v>
      </c>
      <c r="I31" s="10">
        <v>2564.6990000000001</v>
      </c>
    </row>
    <row r="32" spans="2:9" x14ac:dyDescent="0.25">
      <c r="B32" t="s">
        <v>144</v>
      </c>
      <c r="C32" t="s">
        <v>22</v>
      </c>
      <c r="D32" s="21" t="s">
        <v>2</v>
      </c>
      <c r="E32" s="21" t="s">
        <v>23</v>
      </c>
      <c r="F32" t="s">
        <v>22</v>
      </c>
      <c r="G32" s="47">
        <v>46093</v>
      </c>
      <c r="H32">
        <v>4019.038</v>
      </c>
      <c r="I32" s="10">
        <v>4019.038</v>
      </c>
    </row>
    <row r="33" spans="2:9" x14ac:dyDescent="0.25">
      <c r="B33" t="s">
        <v>144</v>
      </c>
      <c r="C33" t="s">
        <v>22</v>
      </c>
      <c r="D33" s="21" t="s">
        <v>99</v>
      </c>
      <c r="E33" s="21" t="s">
        <v>23</v>
      </c>
      <c r="F33" t="s">
        <v>22</v>
      </c>
      <c r="G33" s="47">
        <v>46096</v>
      </c>
      <c r="H33">
        <v>2800.1619999999998</v>
      </c>
      <c r="I33" s="10">
        <v>2800.1619999999998</v>
      </c>
    </row>
    <row r="34" spans="2:9" x14ac:dyDescent="0.25">
      <c r="B34" t="s">
        <v>144</v>
      </c>
      <c r="C34" t="s">
        <v>22</v>
      </c>
      <c r="D34" s="21" t="s">
        <v>4</v>
      </c>
      <c r="E34" t="s">
        <v>23</v>
      </c>
      <c r="F34" t="s">
        <v>22</v>
      </c>
      <c r="G34" s="47">
        <v>46092</v>
      </c>
      <c r="H34">
        <v>4015.4270000000001</v>
      </c>
      <c r="I34" s="10">
        <v>1287.9169999999999</v>
      </c>
    </row>
    <row r="35" spans="2:9" x14ac:dyDescent="0.25">
      <c r="B35" t="s">
        <v>144</v>
      </c>
      <c r="C35" t="s">
        <v>22</v>
      </c>
      <c r="D35" s="21" t="s">
        <v>98</v>
      </c>
      <c r="E35" t="s">
        <v>23</v>
      </c>
      <c r="F35" t="s">
        <v>22</v>
      </c>
      <c r="G35" s="47">
        <v>46098</v>
      </c>
      <c r="H35">
        <v>3700.7159999999999</v>
      </c>
      <c r="I35" s="10">
        <v>3700.7159999999999</v>
      </c>
    </row>
    <row r="36" spans="2:9" x14ac:dyDescent="0.25">
      <c r="B36" t="s">
        <v>144</v>
      </c>
      <c r="C36" t="s">
        <v>22</v>
      </c>
      <c r="D36" s="21" t="s">
        <v>114</v>
      </c>
      <c r="E36" s="21" t="s">
        <v>139</v>
      </c>
      <c r="F36" t="s">
        <v>22</v>
      </c>
      <c r="G36" s="47">
        <v>46096</v>
      </c>
      <c r="H36">
        <v>4610.7539999999999</v>
      </c>
      <c r="I36" s="10">
        <v>4610.7539999999999</v>
      </c>
    </row>
    <row r="37" spans="2:9" x14ac:dyDescent="0.25">
      <c r="B37" t="s">
        <v>46</v>
      </c>
      <c r="D37"/>
      <c r="G37"/>
      <c r="I37" s="10">
        <v>91124.536999999997</v>
      </c>
    </row>
    <row r="38" spans="2:9" x14ac:dyDescent="0.25">
      <c r="D38"/>
      <c r="G38"/>
    </row>
    <row r="39" spans="2:9" x14ac:dyDescent="0.25">
      <c r="D39"/>
      <c r="G39"/>
    </row>
    <row r="40" spans="2:9" x14ac:dyDescent="0.25">
      <c r="D40"/>
      <c r="G40"/>
    </row>
    <row r="41" spans="2:9" x14ac:dyDescent="0.25">
      <c r="D41"/>
      <c r="G41"/>
    </row>
    <row r="42" spans="2:9" x14ac:dyDescent="0.25">
      <c r="D42"/>
      <c r="G42"/>
    </row>
    <row r="43" spans="2:9" x14ac:dyDescent="0.25">
      <c r="D43"/>
      <c r="G43"/>
    </row>
    <row r="44" spans="2:9" x14ac:dyDescent="0.25">
      <c r="D44"/>
      <c r="G44"/>
    </row>
    <row r="45" spans="2:9" x14ac:dyDescent="0.25">
      <c r="D45"/>
      <c r="G45"/>
    </row>
    <row r="46" spans="2:9" x14ac:dyDescent="0.25">
      <c r="D46"/>
      <c r="G46"/>
    </row>
    <row r="47" spans="2:9" x14ac:dyDescent="0.25">
      <c r="D47"/>
      <c r="G47"/>
    </row>
    <row r="48" spans="2:9" x14ac:dyDescent="0.25">
      <c r="D48"/>
      <c r="G48"/>
    </row>
    <row r="49" spans="4:7" x14ac:dyDescent="0.25">
      <c r="D49"/>
      <c r="G49"/>
    </row>
    <row r="50" spans="4:7" x14ac:dyDescent="0.25">
      <c r="D50"/>
      <c r="G50"/>
    </row>
    <row r="51" spans="4:7" x14ac:dyDescent="0.25">
      <c r="D51"/>
      <c r="G51"/>
    </row>
    <row r="52" spans="4:7" x14ac:dyDescent="0.25">
      <c r="D52"/>
      <c r="G52"/>
    </row>
    <row r="53" spans="4:7" x14ac:dyDescent="0.25">
      <c r="D53"/>
      <c r="G53"/>
    </row>
    <row r="54" spans="4:7" x14ac:dyDescent="0.25">
      <c r="D54"/>
      <c r="G54"/>
    </row>
    <row r="55" spans="4:7" x14ac:dyDescent="0.25">
      <c r="D55"/>
      <c r="G55"/>
    </row>
    <row r="56" spans="4:7" x14ac:dyDescent="0.25">
      <c r="D56"/>
      <c r="G56"/>
    </row>
    <row r="57" spans="4:7" x14ac:dyDescent="0.25">
      <c r="D57"/>
      <c r="G57"/>
    </row>
    <row r="58" spans="4:7" x14ac:dyDescent="0.25">
      <c r="D58"/>
      <c r="G58"/>
    </row>
    <row r="59" spans="4:7" x14ac:dyDescent="0.25">
      <c r="D59"/>
      <c r="G59"/>
    </row>
    <row r="60" spans="4:7" x14ac:dyDescent="0.25">
      <c r="D60"/>
      <c r="G60"/>
    </row>
    <row r="61" spans="4:7" x14ac:dyDescent="0.25">
      <c r="D61"/>
      <c r="G61"/>
    </row>
    <row r="62" spans="4:7" x14ac:dyDescent="0.25">
      <c r="D62"/>
      <c r="G62"/>
    </row>
    <row r="63" spans="4:7" x14ac:dyDescent="0.25">
      <c r="D63"/>
      <c r="G63"/>
    </row>
    <row r="64" spans="4:7" x14ac:dyDescent="0.25">
      <c r="D64"/>
      <c r="G64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:J33"/>
  <sheetViews>
    <sheetView topLeftCell="A4" workbookViewId="0">
      <selection activeCell="C16" sqref="C16"/>
    </sheetView>
  </sheetViews>
  <sheetFormatPr defaultRowHeight="15" x14ac:dyDescent="0.25"/>
  <cols>
    <col min="3" max="3" width="44.7109375" customWidth="1"/>
    <col min="4" max="4" width="29.7109375" customWidth="1"/>
    <col min="5" max="5" width="40.42578125" customWidth="1"/>
    <col min="6" max="6" width="22" customWidth="1"/>
    <col min="7" max="7" width="26.42578125" customWidth="1"/>
    <col min="8" max="8" width="19.7109375" customWidth="1"/>
    <col min="10" max="10" width="47.28515625" customWidth="1"/>
  </cols>
  <sheetData>
    <row r="1" spans="3:10" x14ac:dyDescent="0.25">
      <c r="C1" t="s">
        <v>1</v>
      </c>
      <c r="D1" t="s">
        <v>12</v>
      </c>
      <c r="E1" t="s">
        <v>10</v>
      </c>
      <c r="G1" t="s">
        <v>14</v>
      </c>
      <c r="H1" t="s">
        <v>128</v>
      </c>
      <c r="J1" t="s">
        <v>10</v>
      </c>
    </row>
    <row r="2" spans="3:10" x14ac:dyDescent="0.25">
      <c r="C2" t="s">
        <v>2</v>
      </c>
      <c r="D2" t="s">
        <v>13</v>
      </c>
      <c r="E2" t="s">
        <v>35</v>
      </c>
      <c r="F2" t="s">
        <v>83</v>
      </c>
      <c r="G2" t="s">
        <v>15</v>
      </c>
      <c r="H2" t="s">
        <v>129</v>
      </c>
      <c r="J2" t="s">
        <v>29</v>
      </c>
    </row>
    <row r="3" spans="3:10" x14ac:dyDescent="0.25">
      <c r="C3" t="s">
        <v>3</v>
      </c>
      <c r="D3" t="s">
        <v>14</v>
      </c>
      <c r="E3" t="s">
        <v>44</v>
      </c>
      <c r="F3" t="s">
        <v>36</v>
      </c>
      <c r="G3" t="s">
        <v>102</v>
      </c>
      <c r="J3" t="s">
        <v>30</v>
      </c>
    </row>
    <row r="4" spans="3:10" x14ac:dyDescent="0.25">
      <c r="C4" t="s">
        <v>4</v>
      </c>
      <c r="D4" t="s">
        <v>15</v>
      </c>
      <c r="E4" t="s">
        <v>45</v>
      </c>
      <c r="F4" t="s">
        <v>20</v>
      </c>
      <c r="J4" t="s">
        <v>31</v>
      </c>
    </row>
    <row r="5" spans="3:10" x14ac:dyDescent="0.25">
      <c r="C5" t="s">
        <v>5</v>
      </c>
      <c r="D5" t="s">
        <v>16</v>
      </c>
      <c r="E5" t="s">
        <v>54</v>
      </c>
      <c r="J5" t="s">
        <v>32</v>
      </c>
    </row>
    <row r="6" spans="3:10" x14ac:dyDescent="0.25">
      <c r="C6" t="s">
        <v>6</v>
      </c>
      <c r="D6" t="s">
        <v>59</v>
      </c>
      <c r="E6" t="s">
        <v>88</v>
      </c>
      <c r="J6" t="s">
        <v>33</v>
      </c>
    </row>
    <row r="7" spans="3:10" x14ac:dyDescent="0.25">
      <c r="C7" t="s">
        <v>7</v>
      </c>
      <c r="D7" t="s">
        <v>69</v>
      </c>
      <c r="E7" t="s">
        <v>30</v>
      </c>
      <c r="J7" t="s">
        <v>48</v>
      </c>
    </row>
    <row r="8" spans="3:10" x14ac:dyDescent="0.25">
      <c r="C8" t="s">
        <v>8</v>
      </c>
      <c r="D8" t="s">
        <v>102</v>
      </c>
      <c r="E8" t="s">
        <v>31</v>
      </c>
      <c r="J8" t="s">
        <v>20</v>
      </c>
    </row>
    <row r="9" spans="3:10" x14ac:dyDescent="0.25">
      <c r="C9" t="s">
        <v>9</v>
      </c>
      <c r="D9" t="s">
        <v>141</v>
      </c>
      <c r="E9" t="s">
        <v>89</v>
      </c>
      <c r="J9" t="s">
        <v>34</v>
      </c>
    </row>
    <row r="10" spans="3:10" x14ac:dyDescent="0.25">
      <c r="C10" t="s">
        <v>11</v>
      </c>
      <c r="E10" t="s">
        <v>32</v>
      </c>
      <c r="J10" t="s">
        <v>35</v>
      </c>
    </row>
    <row r="11" spans="3:10" x14ac:dyDescent="0.25">
      <c r="C11" t="s">
        <v>25</v>
      </c>
      <c r="D11" t="str">
        <f>PROPER(C11)</f>
        <v xml:space="preserve"> Т/Х Ugah Confidence</v>
      </c>
      <c r="E11" t="s">
        <v>56</v>
      </c>
      <c r="J11" t="s">
        <v>44</v>
      </c>
    </row>
    <row r="12" spans="3:10" x14ac:dyDescent="0.25">
      <c r="C12" t="s">
        <v>27</v>
      </c>
      <c r="E12" t="s">
        <v>20</v>
      </c>
      <c r="J12" t="s">
        <v>45</v>
      </c>
    </row>
    <row r="13" spans="3:10" x14ac:dyDescent="0.25">
      <c r="C13" t="s">
        <v>26</v>
      </c>
      <c r="E13" t="s">
        <v>33</v>
      </c>
      <c r="J13" t="s">
        <v>47</v>
      </c>
    </row>
    <row r="14" spans="3:10" x14ac:dyDescent="0.25">
      <c r="C14" t="s">
        <v>28</v>
      </c>
      <c r="E14" t="s">
        <v>53</v>
      </c>
      <c r="J14" t="s">
        <v>49</v>
      </c>
    </row>
    <row r="15" spans="3:10" x14ac:dyDescent="0.25">
      <c r="C15" t="s">
        <v>43</v>
      </c>
      <c r="E15" t="s">
        <v>58</v>
      </c>
    </row>
    <row r="16" spans="3:10" x14ac:dyDescent="0.25">
      <c r="C16" t="s">
        <v>97</v>
      </c>
      <c r="E16" t="s">
        <v>57</v>
      </c>
    </row>
    <row r="17" spans="3:5" x14ac:dyDescent="0.25">
      <c r="C17" t="s">
        <v>98</v>
      </c>
      <c r="E17" t="s">
        <v>87</v>
      </c>
    </row>
    <row r="18" spans="3:5" x14ac:dyDescent="0.25">
      <c r="C18" t="s">
        <v>99</v>
      </c>
      <c r="E18" t="s">
        <v>55</v>
      </c>
    </row>
    <row r="19" spans="3:5" x14ac:dyDescent="0.25">
      <c r="C19" t="s">
        <v>100</v>
      </c>
      <c r="E19" t="s">
        <v>47</v>
      </c>
    </row>
    <row r="20" spans="3:5" x14ac:dyDescent="0.25">
      <c r="C20" t="s">
        <v>114</v>
      </c>
      <c r="E20" t="s">
        <v>49</v>
      </c>
    </row>
    <row r="21" spans="3:5" x14ac:dyDescent="0.25">
      <c r="C21" t="s">
        <v>115</v>
      </c>
      <c r="E21" t="s">
        <v>34</v>
      </c>
    </row>
    <row r="22" spans="3:5" x14ac:dyDescent="0.25">
      <c r="C22" t="s">
        <v>116</v>
      </c>
    </row>
    <row r="23" spans="3:5" x14ac:dyDescent="0.25">
      <c r="C23" t="s">
        <v>131</v>
      </c>
    </row>
    <row r="24" spans="3:5" x14ac:dyDescent="0.25">
      <c r="C24" t="s">
        <v>132</v>
      </c>
    </row>
    <row r="25" spans="3:5" x14ac:dyDescent="0.25">
      <c r="C25" t="s">
        <v>133</v>
      </c>
    </row>
    <row r="33" spans="5:6" x14ac:dyDescent="0.25">
      <c r="E33" t="s">
        <v>101</v>
      </c>
      <c r="F33" t="str">
        <f>PROPER(E33)</f>
        <v> Evrika (Imo: 9154567,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"01;8F0 "% !B0BCA ?5@0F8O 0:>?8B5;L 0B0    =0G0;0    3@C7>2KE  >?5@0F89 0B0    >:>=G0=8O  3@C7>2KE  >?5@0F89 0B0    A>AB02;5=8O >@A:>3>  !C4=0 >@A:>5  !C4=> 5A    ?>3@C65==K9 B?@028B5;L 0B0  =0?@02;5=8O  C254><;5=8O @>872. 545;O <5AOF 3>4 "% !B0BCA ?5@0F8O 0:>?8B5;L 0B0    =0G0;0    3@C7>2KE  >?5@0F89 0B0    >:>=G0=8O  3@C7>2KE  >?5@0F89 0B0    A>AB02;5=8O >@A:>3>  !C4=0 >@A:>5  !C4=> 5A    ?>3@C65==K9 B?@028B5;L 0B0  =0?@02;5=8O  C254><;5=8O @>872. 545;O <5AOF 3>4 
</file>

<file path=customXml/item2.xml>�� 
</file>

<file path=customXml/item3.xml>�� "01;8F0 "01;8F0 "01;8F0 "01;8F0 "01;8F0 "01;8F0 
</file>

<file path=customXml/item4.xml>�� 
</file>

<file path=customXml/item5.xml>�� 
</file>

<file path=customXml/item6.xml>�� "01;8F01 , "01;8F01 6 , "01;8F0 
</file>

<file path=customXml/item7.xml>�� 
</file>

<file path=customXml/item8.xml>�� 
</file>

<file path=customXml/item9.xml>�� 
</file>

<file path=customXml/item10.xml>�� 
</file>

<file path=customXml/item11.xml>�� "01;8F0 "01;8F0 "01;8F0 
</file>

<file path=customXml/item12.xml>�� 
</file>

<file path=customXml/item13.xml>�� "01;8F0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
</file>

<file path=customXml/item14.xml>�� "01;8F0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
</file>

<file path=customXml/item15.xml>�� 
</file>

<file path=customXml/item16.xml>�� "01;8F0 
</file>

<file path=customXml/item17.xml>�� 
</file>

<file path=customXml/item18.xml>�� "01;>3@C7:0>@O: "01;>3@C7:0>@O: "% !B0BCA ?5@0F8O 5A    ?>3@C65==K9 0:>?8B5;L 0B0    =0G0;0    3@C7>2KE  >?5@0F89 0B0    >:>=G0=8O  3@C7>2KE  >?5@0F89 >@A:>5  !C4=> 0B0    A>AB02;5=8O >@A:>3>  !C4=0 B?@028B5;L 0B0  =0?@02;5=8O  C254><;5=8O @>872. 545;O <5AOF 3>4 "01;>3@C7 "01;>3@C7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"01;K3@C7:0 "01;K3@C7:0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
</file>

<file path=customXml/item19.xml>�� 
</file>

<file path=customXml/item20.xml>�� 
</file>

<file path=customXml/item21.xml>�� "01;>3@C7 "01;>3@C7 !C<<0  ?>  AB>;1FC  5A  ?> !C<<0  ?>  AB>;1FC  5A  ?> $>@<C;0 !C<<0  ?>  AB>;1FC  5A  ?> =0G5=85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!C<<0  ?>  AB>;1FC  5A  ?> 5A  ?> !C<<0  ?>  AB>;1FC  5A  ?> 5A  ?> !C<<0  ?>  AB>;1FC  5A  ?> 5A  ?> !C<<0  ?>  AB>;1FC  5A  ?> !C<<0  ?>  AB>;1FC  5A  ?> $>@<C;0 !C<<0  ?>  AB>;1FC  5A  ?> =0G5=85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!C<<0  ?>  AB>;1FC  5A  ?> 5A  ?> !C<<0  ?>  AB>;1FC  5A  ?> 5A  ?> !C<<0  ?>  AB>;1FC  5A  ?> 5A  ?> "01;>3@C7:0>@O: "01;>3@C7:0>@O: !C<<0  ?>  AB>;1FC  5A    ?>3@C65==K9 !C<<0  ?>  AB>;1FC  5A    ?>3@C65==K9 $>@<C;0 !C<<0  ?>  AB>;1FC  5A    ?>3@C65==K9 =0G5=85 "% !B0BCA ?5@0F8O 5A    ?>3@C65==K9 0:>?8B5;L 0B0    =0G0;0    3@C7>2KE  >?5@0F89 0B0    >:>=G0=8O  3@C7>2KE  >?5@0F89 >@A:>5  !C4=> 0B0    A>AB02;5=8O >@A:>3>  !C4=0 B?@028B5;L 0B0  =0?@02;5=8O  C254><;5=8O @>872. 545;O <5AOF 3>4 !C<<0  ?>  AB>;1FC  5A    ?>3@C65==K9 5A    ?>3@C65==K9 !C<<0  ?>  AB>;1FC  5A    ?>3@C65==K9 5A    ?>3@C65==K9 !C<<0  ?>  AB>;1FC  5A    ?>3@C65==K9 5A    ?>3@C65==K9 !C<<0  ?>  AB>;1FC  5A    ?>3@C65==K9 !C<<0  ?>  AB>;1FC  5A    ?>3@C65==K9 $>@<C;0 !C<<0  ?>  AB>;1FC  5A    ?>3@C65==K9 =0G5=85 "% !B0BCA ?5@0F8O 5A    ?>3@C65==K9 0:>?8B5;L 0B0    =0G0;0    3@C7>2KE  >?5@0F89 0B0    >:>=G0=8O  3@C7>2KE  >?5@0F89 >@A:>5  !C4=> 0B0    A>AB02;5=8O >@A:>3>  !C4=0 B?@028B5;L 0B0  =0?@02;5=8O  C254><;5=8O @>872. 545;O <5AOF 3>4 !C<<0  ?>  AB>;1FC  5A    ?>3@C65==K9 5A    ?>3@C65==K9 !C<<0  ?>  AB>;1FC  5A    ?>3@C65==K9 5A    ?>3@C65==K9 !C<<0  ?>  AB>;1FC  5A    ?>3@C65==K9 5A    ?>3@C65==K9 "01;K3@C7:0 "01;K3@C7:0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"01;>3@C7:0>@O: "01;K3@C7:0 "01;>3@C7 "01;>3@C7:0>@O: "01;>3@C7:0>@O: "% "01;>3@C7:0>@O: !B0BCA "01;>3@C7:0>@O: ?5@0F8O "01;>3@C7:0>@O: 5A    ?>3@C65==K9 "01;>3@C7:0>@O: 0:>?8B5;L "01;>3@C7:0>@O: 0B0    =0G0;0    3@C7>2KE  >?5@0F89 "01;>3@C7:0>@O: 0B0    >:>=G0=8O  3@C7>2KE  >?5@0F89 "01;>3@C7:0>@O: >@A:>5  !C4=> "01;>3@C7:0>@O: 0B0    A>AB02;5=8O >@A:>3>  !C4=0 "01;>3@C7:0>@O: B?@028B5;L "01;>3@C7:0>@O: "01;>3@C7:0>@O: 0B0  =0?@02;5=8O  C254><;5=8O "01;>3@C7:0>@O: "01;>3@C7:0>@O: @>872. 545;O "01;>3@C7:0>@O: <5AOF "01;>3@C7:0>@O: 3>4 "01;>3@C7:0>@O: !C<<0  ?>  AB>;1FC  5A    ?>3@C65==K9 "01;>3@C7:0>@O:\ !C<<0  ?>  AB>;1FC  5A    ?>3@C65==K9 5O2=0O  <5@0 "01;K3@C7:0 "01;K3@C7:0 "% "01;K3@C7:0 !B0BCA "01;K3@C7:0 ?5@0F8O "01;K3@C7:0 5A  ?> "01;K3@C7:0 5A    2K3@C65==K9  2  =0:>?8B5;L "01;K3@C7:0  073@C7:0 "01;K3@C7:0 0B0    =0G0;0    3@C7>2KE  >?5@0F89 "01;K3@C7:0 0B0    >:>=G0=8O  3@C7>2KE  >?5@0F89 "01;K3@C7:0 0B0    A>AB02;5=8O @5G=8: "01;K3@C7:0 0:>?8B5;L "01;K3@C7:0 B?@028B5;L "01;K3@C7:0 "01;K3@C7:0 0B0  =0?@02;5=8O  C254><;5=8O "01;>3@C7 "01;>3@C7 "% "01;>3@C7 >@B    ?>3@C7:8 "01;>3@C7 ?5@0F8O "01;>3@C7 !B0BCA   59A>2>3>    7040=8O "01;>3@C7 5A    :    ?>3@C7:5    B= "01;>3@C7 5A  ?> "01;>3@C7 ?>3@C7:0 "01;>3@C7 0B0    =0G0;0    3@C7>2KE  >?5@0F89 "01;>3@C7 0B0    >:>=G0=8O  3@C7>2KE  >?5@0F89 "01;>3@C7 0B0    A>AB02;5=8O "01;>3@C7 ;0=    >B3@C7:8 "01;>3@C7 B?@028B5;L "01;>3@C7 !N@255@ "01;>3@C7 5A    =0    1>@BC      4>    =0G0;0    3@C7>2KE  >?5@0F89 "01;>3@C7 5A    =0    1>@BC      ?>A;5    >:>=G0=8O 3@C7>2KE  >?5@0F89 "01;>3@C7 "01;>3@C7 >4 "01;>3@C7 5AOF "01;>3@C7 545;O "01;>3@C7 0B0    A>AB02;5=8O >4 "01;>3@C7 0B0    A>AB02;5=8O 20@B0; "01;>3@C7 0B0    A>AB02;5=8O =45:A  <5AOF0 "01;>3@C7 0B0    A>AB02;5=8O 5AOF "01;>3@C7 !C<<0  ?>  AB>;1FC  5A  ?> "01;>3@C7\ !C<<0  ?>  AB>;1FC  5A  ?> 5O2=0O  <5@0 "01;K3@C7:0 "01;>3@C7 "01;K3@C7:0 "01;>3@C7 "01;K3@C7:0 "01;>3@C7 "01;K3@C7:0 "01;>3@C7 "01;>3@C7:0>@O: "01;>3@C7 "01;>3@C7:0>@O: "01;>3@C7 "01;>3@C7:0>@O: "01;>3@C7 "01;>3@C7:0>@O: "01;>3@C7 "01;K3@C7:0 "01;>3@C7:0>@O: "01;K3@C7:0 "01;>3@C7 "01;>3@C7:0>@O: "01;>3@C7:0>@O: "% "01;>3@C7:0>@O: !B0BCA "01;>3@C7:0>@O: ?5@0F8O "01;>3@C7:0>@O: 5A    ?>3@C65==K9 "01;>3@C7:0>@O: 0:>?8B5;L "01;>3@C7:0>@O: 0B0    =0G0;0    3@C7>2KE  >?5@0F89 "01;>3@C7:0>@O: 0B0    >:>=G0=8O  3@C7>2KE  >?5@0F89 "01;>3@C7:0>@O: >@A:>5  !C4=> "01;>3@C7:0>@O: 0B0    A>AB02;5=8O >@A:>3>  !C4=0 "01;>3@C7:0>@O: B?@028B5;L "01;>3@C7:0>@O: "01;>3@C7:0>@O: 0B0  =0?@02;5=8O  C254><;5=8O "01;>3@C7:0>@O: "01;>3@C7:0>@O: @>872. 545;O "01;>3@C7:0>@O: <5AOF "01;>3@C7:0>@O: 3>4 "01;>3@C7:0>@O: !C<<0  ?>  AB>;1FC  5A    ?>3@C65==K9 "01;>3@C7:0>@O:\ !C<<0  ?>  AB>;1FC  5A    ?>3@C65==K9 5O2=0O  <5@0 "01;K3@C7:0 "01;K3@C7:0 "% "01;K3@C7:0 !B0BCA "01;K3@C7:0 ?5@0F8O "01;K3@C7:0 5A  ?> "01;K3@C7:0 5A    2K3@C65==K9  2  =0:>?8B5;L "01;K3@C7:0  073@C7:0 "01;K3@C7:0 0B0    =0G0;0    3@C7>2KE  >?5@0F89 "01;K3@C7:0 0B0    >:>=G0=8O  3@C7>2KE  >?5@0F89 "01;K3@C7:0 0B0    A>AB02;5=8O @5G=8: "01;K3@C7:0 0:>?8B5;L "01;K3@C7:0 B?@028B5;L "01;K3@C7:0 "01;K3@C7:0 0B0  =0?@02;5=8O  C254><;5=8O "01;>3@C7 "01;>3@C7 "% "01;>3@C7 >@B    ?>3@C7:8 "01;>3@C7 ?5@0F8O "01;>3@C7 !B0BCA   59A>2>3>    7040=8O "01;>3@C7 5A    :    ?>3@C7:5    B= "01;>3@C7 5A  ?> "01;>3@C7 ?>3@C7:0 "01;>3@C7 0B0    =0G0;0    3@C7>2KE  >?5@0F89 "01;>3@C7 0B0    >:>=G0=8O  3@C7>2KE  >?5@0F89 "01;>3@C7 0B0    A>AB02;5=8O "01;>3@C7 ;0=    >B3@C7:8 "01;>3@C7 B?@028B5;L "01;>3@C7 !N@255@ "01;>3@C7 5A    =0    1>@BC      4>    =0G0;0    3@C7>2KE  >?5@0F89 "01;>3@C7 5A    =0    1>@BC      ?>A;5    >:>=G0=8O 3@C7>2KE  >?5@0F89 "01;>3@C7 "01;>3@C7 >4 "01;>3@C7 5AOF "01;>3@C7 545;O "01;>3@C7 0B0    A>AB02;5=8O >4 "01;>3@C7 0B0    A>AB02;5=8O 20@B0; "01;>3@C7 0B0    A>AB02;5=8O =45:A  <5AOF0 "01;>3@C7 0B0    A>AB02;5=8O 5AOF "01;>3@C7 !C<<0  ?>  AB>;1FC  5A  ?> "01;>3@C7\ !C<<0  ?>  AB>;1FC  5A  ?> 5O2=0O  <5@0 "01;K3@C7:0 "01;>3@C7 >=5G=0O  B>G:0 >=5G=0O  B>G:0 "01;K3@C7:0 "01;>3@C7 "01;K3@C7:0 "01;>3@C7 "01;K3@C7:0 "01;>3@C7 "01;>3@C7:0>@O: "01;>3@C7 >=5G=0O  B>G:0 >=5G=0O  B>G:0 "01;>3@C7:0>@O: "01;>3@C7 "01;>3@C7:0>@O: "01;>3@C7 "01;>3@C7:0>@O: "01;>3@C7 
</file>

<file path=customXml/itemProps1.xml><?xml version="1.0" encoding="utf-8"?>
<ds:datastoreItem xmlns:ds="http://schemas.openxmlformats.org/officeDocument/2006/customXml" ds:itemID="{A535E7CD-DDEE-409C-AAA0-166BDFC34237}">
  <ds:schemaRefs/>
</ds:datastoreItem>
</file>

<file path=customXml/itemProps2.xml><?xml version="1.0" encoding="utf-8"?>
<ds:datastoreItem xmlns:ds="http://schemas.openxmlformats.org/officeDocument/2006/customXml" ds:itemID="{0DAB37FD-72EE-4972-94D8-971E01C54362}">
  <ds:schemaRefs/>
</ds:datastoreItem>
</file>

<file path=customXml/itemProps3.xml><?xml version="1.0" encoding="utf-8"?>
<ds:datastoreItem xmlns:ds="http://schemas.openxmlformats.org/officeDocument/2006/customXml" ds:itemID="{42B8A7B8-AC95-479C-A2E3-8EC9FC738E43}">
  <ds:schemaRefs/>
</ds:datastoreItem>
</file>

<file path=customXml/itemProps4.xml><?xml version="1.0" encoding="utf-8"?>
<ds:datastoreItem xmlns:ds="http://schemas.openxmlformats.org/officeDocument/2006/customXml" ds:itemID="{77C71757-9DB2-4CB5-9296-6ED7BB5985B9}">
  <ds:schemaRefs/>
</ds:datastoreItem>
</file>

<file path=customXml/itemProps5.xml><?xml version="1.0" encoding="utf-8"?>
<ds:datastoreItem xmlns:ds="http://schemas.openxmlformats.org/officeDocument/2006/customXml" ds:itemID="{639BD215-E23F-4011-8716-5C721B0A733E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1C0CF236-4F48-4AFA-963D-DFE4AFC2572A}">
  <ds:schemaRefs/>
</ds:datastoreItem>
</file>

<file path=customXml/itemProps7.xml><?xml version="1.0" encoding="utf-8"?>
<ds:datastoreItem xmlns:ds="http://schemas.openxmlformats.org/officeDocument/2006/customXml" ds:itemID="{BAFDE3E5-B684-4E9E-8D1D-8F83097241B5}">
  <ds:schemaRefs/>
</ds:datastoreItem>
</file>

<file path=customXml/itemProps8.xml><?xml version="1.0" encoding="utf-8"?>
<ds:datastoreItem xmlns:ds="http://schemas.openxmlformats.org/officeDocument/2006/customXml" ds:itemID="{469145CF-E6C7-4B54-A48D-2B6425B7A3B9}">
  <ds:schemaRefs/>
</ds:datastoreItem>
</file>

<file path=customXml/itemProps9.xml><?xml version="1.0" encoding="utf-8"?>
<ds:datastoreItem xmlns:ds="http://schemas.openxmlformats.org/officeDocument/2006/customXml" ds:itemID="{B928B838-DCED-4456-A87F-894EC7CC6CB6}">
  <ds:schemaRefs/>
</ds:datastoreItem>
</file>

<file path=customXml/itemProps10.xml><?xml version="1.0" encoding="utf-8"?>
<ds:datastoreItem xmlns:ds="http://schemas.openxmlformats.org/officeDocument/2006/customXml" ds:itemID="{C3B7AAF5-92DE-4DBA-BB14-4AB43C34584C}">
  <ds:schemaRefs/>
</ds:datastoreItem>
</file>

<file path=customXml/itemProps11.xml><?xml version="1.0" encoding="utf-8"?>
<ds:datastoreItem xmlns:ds="http://schemas.openxmlformats.org/officeDocument/2006/customXml" ds:itemID="{B453A231-14E4-4A29-84E0-513CDA479E0A}">
  <ds:schemaRefs/>
</ds:datastoreItem>
</file>

<file path=customXml/itemProps12.xml><?xml version="1.0" encoding="utf-8"?>
<ds:datastoreItem xmlns:ds="http://schemas.openxmlformats.org/officeDocument/2006/customXml" ds:itemID="{450F714B-6F33-42FE-B1D6-B540825B3D14}">
  <ds:schemaRefs/>
</ds:datastoreItem>
</file>

<file path=customXml/itemProps13.xml><?xml version="1.0" encoding="utf-8"?>
<ds:datastoreItem xmlns:ds="http://schemas.openxmlformats.org/officeDocument/2006/customXml" ds:itemID="{957C28E9-D356-498B-BA04-8404EFD3C487}">
  <ds:schemaRefs/>
</ds:datastoreItem>
</file>

<file path=customXml/itemProps14.xml><?xml version="1.0" encoding="utf-8"?>
<ds:datastoreItem xmlns:ds="http://schemas.openxmlformats.org/officeDocument/2006/customXml" ds:itemID="{2FE4383A-CF8A-4FA1-88CA-78C0BF80810C}">
  <ds:schemaRefs/>
</ds:datastoreItem>
</file>

<file path=customXml/itemProps15.xml><?xml version="1.0" encoding="utf-8"?>
<ds:datastoreItem xmlns:ds="http://schemas.openxmlformats.org/officeDocument/2006/customXml" ds:itemID="{2D5F188D-3F06-42AC-9FBD-C519D71B4148}">
  <ds:schemaRefs/>
</ds:datastoreItem>
</file>

<file path=customXml/itemProps16.xml><?xml version="1.0" encoding="utf-8"?>
<ds:datastoreItem xmlns:ds="http://schemas.openxmlformats.org/officeDocument/2006/customXml" ds:itemID="{ACEDB305-E474-4BA0-89C2-E7CFED72CBC2}">
  <ds:schemaRefs/>
</ds:datastoreItem>
</file>

<file path=customXml/itemProps17.xml><?xml version="1.0" encoding="utf-8"?>
<ds:datastoreItem xmlns:ds="http://schemas.openxmlformats.org/officeDocument/2006/customXml" ds:itemID="{ACD25CE6-582F-4A60-8532-D6BE69A9AFCB}">
  <ds:schemaRefs/>
</ds:datastoreItem>
</file>

<file path=customXml/itemProps18.xml><?xml version="1.0" encoding="utf-8"?>
<ds:datastoreItem xmlns:ds="http://schemas.openxmlformats.org/officeDocument/2006/customXml" ds:itemID="{6624F03F-588E-42B1-9972-09F51EAF073E}">
  <ds:schemaRefs/>
</ds:datastoreItem>
</file>

<file path=customXml/itemProps19.xml><?xml version="1.0" encoding="utf-8"?>
<ds:datastoreItem xmlns:ds="http://schemas.openxmlformats.org/officeDocument/2006/customXml" ds:itemID="{DE4AD7AA-86E8-48CF-9B41-C443BBFCBA04}">
  <ds:schemaRefs/>
</ds:datastoreItem>
</file>

<file path=customXml/itemProps20.xml><?xml version="1.0" encoding="utf-8"?>
<ds:datastoreItem xmlns:ds="http://schemas.openxmlformats.org/officeDocument/2006/customXml" ds:itemID="{ABA33C23-D9AB-4855-8B41-07AF2152E795}">
  <ds:schemaRefs/>
</ds:datastoreItem>
</file>

<file path=customXml/itemProps21.xml><?xml version="1.0" encoding="utf-8"?>
<ds:datastoreItem xmlns:ds="http://schemas.openxmlformats.org/officeDocument/2006/customXml" ds:itemID="{67C186FE-A603-4DC9-AB2D-C75DBB3C3E2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ТаблВыгрузка</vt:lpstr>
      <vt:lpstr>ТаблПогрузкаМоряк</vt:lpstr>
      <vt:lpstr>ОтчПогрузМоряков</vt:lpstr>
      <vt:lpstr>Список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Маршанский Дмитрий Сергеевич</dc:creator>
  <cp:lastModifiedBy>Маршанский Дмитрий Сергеевич</cp:lastModifiedBy>
  <cp:lastPrinted>2026-02-09T08:58:00Z</cp:lastPrinted>
  <dcterms:created xsi:type="dcterms:W3CDTF">2015-06-05T18:19:34Z</dcterms:created>
  <dcterms:modified xsi:type="dcterms:W3CDTF">2026-04-07T07:41:31Z</dcterms:modified>
</cp:coreProperties>
</file>