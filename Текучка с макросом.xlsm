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slicers/slicer2.xml" ContentType="application/vnd.ms-excel.slicer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.marshanskiy\Desktop\Текучка  оперативка\"/>
    </mc:Choice>
  </mc:AlternateContent>
  <bookViews>
    <workbookView xWindow="0" yWindow="0" windowWidth="2160" windowHeight="0" activeTab="4"/>
  </bookViews>
  <sheets>
    <sheet name="ТаблПогруз" sheetId="2" r:id="rId1"/>
    <sheet name="ТарифРП" sheetId="12" r:id="rId2"/>
    <sheet name="ТаблВыгрузка" sheetId="5" r:id="rId3"/>
    <sheet name="ТаблПогрузкаМоряк" sheetId="9" r:id="rId4"/>
    <sheet name="ОтчПогрузМоряков" sheetId="10" r:id="rId5"/>
    <sheet name="ДляБух" sheetId="7" r:id="rId6"/>
    <sheet name="Сводка" sheetId="13" r:id="rId7"/>
    <sheet name="АналитикапоМесяцам" sheetId="16" r:id="rId8"/>
    <sheet name="Список" sheetId="3" r:id="rId9"/>
  </sheets>
  <definedNames>
    <definedName name="_xlcn.Связаннаятаблица_Таблица11" hidden="1">Таблица1[]</definedName>
    <definedName name="_xlcn.Связаннаятаблица_Таблица161" hidden="1">Таблица16[]</definedName>
    <definedName name="_xlcn.Связаннаятаблица_Таблица1631" hidden="1">Таблица163[]</definedName>
    <definedName name="_xlnm.Print_Area" localSheetId="6">Сводка!$A$1:$I$34</definedName>
    <definedName name="_xlnm.Print_Area" localSheetId="1">ТарифРП!$D$5:$E$18</definedName>
    <definedName name="Срез_Вес_по__B\L">#N/A</definedName>
    <definedName name="Срез_Год">#N/A</definedName>
    <definedName name="Срез_Год1">#N/A</definedName>
    <definedName name="Срез_Год2">#N/A</definedName>
    <definedName name="Срез_Дата__составления__B\L">#N/A</definedName>
    <definedName name="Срез_Дата__составления__B\L_Морского_Судна">#N/A</definedName>
    <definedName name="Срез_Дата__составления__B\L_Морского_Судна1">#N/A</definedName>
    <definedName name="Срез_Месяц">#N/A</definedName>
    <definedName name="Срез_Месяц1">#N/A</definedName>
    <definedName name="Срез_месяц2">#N/A</definedName>
    <definedName name="Срез_Месяц3">#N/A</definedName>
    <definedName name="Срез_Морское_Судно">#N/A</definedName>
    <definedName name="Срез_Морское_Судно1">#N/A</definedName>
    <definedName name="Срез_Накопитель1">#N/A</definedName>
    <definedName name="Срез_Неделя">#N/A</definedName>
    <definedName name="Срез_Неделя1">#N/A</definedName>
    <definedName name="Срез_Операция">#N/A</definedName>
    <definedName name="Срез_Порт__погрузки">#N/A</definedName>
    <definedName name="Срез_Порт__погрузки1">#N/A</definedName>
    <definedName name="Срез_Порт__погрузки11">#N/A</definedName>
    <definedName name="Срез_Произв.Неделя">#N/A</definedName>
    <definedName name="Срез_Статус_Рейсового__задания">#N/A</definedName>
    <definedName name="Срез_ТХ">#N/A</definedName>
  </definedNames>
  <calcPr calcId="162913"/>
  <pivotCaches>
    <pivotCache cacheId="99" r:id="rId10"/>
    <pivotCache cacheId="111" r:id="rId11"/>
    <pivotCache cacheId="120" r:id="rId12"/>
  </pivotCaches>
  <extLst>
    <ext xmlns:x14="http://schemas.microsoft.com/office/spreadsheetml/2009/9/main" uri="{876F7934-8845-4945-9796-88D515C7AA90}">
      <x14:pivotCaches>
        <pivotCache cacheId="98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1"/>
        <x14:slicerCache r:id="rId32"/>
        <x14:slicerCache r:id="rId33"/>
        <x14:slicerCache r:id="rId34"/>
        <x14:slicerCache r:id="rId35"/>
        <x14:slicerCache r:id="rId36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63" name="ТаблПогрузкаМоряк" connection="Связанная таблица_Таблица163"/>
          <x15:modelTable id="Таблица16" name="ТаблВыгрузка" connection="Связанная таблица_Таблица16"/>
          <x15:modelTable id="Таблица1" name="ТаблПогруз" connection="Связанная таблица_Таблица1"/>
        </x15:modelTables>
        <x15:modelRelationships>
          <x15:modelRelationship fromTable="ТаблВыгрузка" fromColumn="Id key" toTable="ТаблПогруз" toColumn="Id"/>
          <x15:modelRelationship fromTable="ТаблПогрузкаМоряк" fromColumn="Id key" toTable="ТаблПогруз" toColumn="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ТаблПогруз" columnName="Дата  составления  B\L" columnId="Дата  составления  B L">
                <x16:calculatedTimeColumn columnName="Дата  составления  B\L (Год)" columnId="Дата  составления  B L (Год)" contentType="years" isSelected="1"/>
                <x16:calculatedTimeColumn columnName="Дата  составления  B\L (Квартал)" columnId="Дата  составления  B L (Квартал)" contentType="quarters" isSelected="1"/>
                <x16:calculatedTimeColumn columnName="Дата  составления  B\L (Индекс месяца)" columnId="Дата  составления  B L (Индекс месяца)" contentType="monthsindex" isSelected="1"/>
                <x16:calculatedTimeColumn columnName="Дата  составления  B\L (Месяц)" columnId="Дата  составления  B L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P111" i="2" l="1"/>
  <c r="Q111" i="2"/>
  <c r="R111" i="2"/>
  <c r="S111" i="2"/>
  <c r="T111" i="2"/>
  <c r="U111" i="2"/>
  <c r="L56" i="5" l="1"/>
  <c r="P125" i="2" l="1"/>
  <c r="Q125" i="2"/>
  <c r="R125" i="2"/>
  <c r="S125" i="2"/>
  <c r="T125" i="2"/>
  <c r="U125" i="2"/>
  <c r="U8" i="2" l="1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L55" i="5" l="1"/>
  <c r="P119" i="2" l="1"/>
  <c r="Q119" i="2"/>
  <c r="R119" i="2"/>
  <c r="S119" i="2"/>
  <c r="T119" i="2"/>
  <c r="L54" i="5" l="1"/>
  <c r="M60" i="9" l="1"/>
  <c r="N60" i="9"/>
  <c r="O60" i="9"/>
  <c r="M59" i="9"/>
  <c r="N59" i="9"/>
  <c r="O59" i="9"/>
  <c r="M58" i="9"/>
  <c r="N58" i="9"/>
  <c r="O58" i="9"/>
  <c r="M57" i="9"/>
  <c r="N57" i="9"/>
  <c r="O57" i="9"/>
  <c r="M56" i="9"/>
  <c r="N56" i="9"/>
  <c r="O56" i="9"/>
  <c r="M55" i="9"/>
  <c r="N55" i="9"/>
  <c r="O55" i="9"/>
  <c r="P124" i="2"/>
  <c r="Q124" i="2"/>
  <c r="R124" i="2"/>
  <c r="S124" i="2"/>
  <c r="T124" i="2"/>
  <c r="P123" i="2"/>
  <c r="Q123" i="2"/>
  <c r="R123" i="2"/>
  <c r="S123" i="2"/>
  <c r="T123" i="2"/>
  <c r="P122" i="2"/>
  <c r="Q122" i="2"/>
  <c r="R122" i="2"/>
  <c r="S122" i="2"/>
  <c r="T122" i="2"/>
  <c r="P121" i="2"/>
  <c r="Q121" i="2"/>
  <c r="R121" i="2"/>
  <c r="S121" i="2"/>
  <c r="T121" i="2"/>
  <c r="P120" i="2"/>
  <c r="Q120" i="2"/>
  <c r="R120" i="2"/>
  <c r="S120" i="2"/>
  <c r="T120" i="2"/>
  <c r="L53" i="5" l="1"/>
  <c r="L52" i="5"/>
  <c r="L51" i="5"/>
  <c r="L41" i="5" l="1"/>
  <c r="L42" i="5" l="1"/>
  <c r="L50" i="5"/>
  <c r="L49" i="5"/>
  <c r="L48" i="5"/>
  <c r="P118" i="2" l="1"/>
  <c r="Q118" i="2"/>
  <c r="R118" i="2"/>
  <c r="S118" i="2"/>
  <c r="T118" i="2"/>
  <c r="P117" i="2" l="1"/>
  <c r="Q117" i="2"/>
  <c r="R117" i="2"/>
  <c r="S117" i="2"/>
  <c r="T117" i="2"/>
  <c r="P116" i="2"/>
  <c r="Q116" i="2"/>
  <c r="R116" i="2"/>
  <c r="S116" i="2"/>
  <c r="T116" i="2"/>
  <c r="P115" i="2"/>
  <c r="Q115" i="2"/>
  <c r="R115" i="2"/>
  <c r="S115" i="2"/>
  <c r="T115" i="2"/>
  <c r="P114" i="2" l="1"/>
  <c r="Q114" i="2"/>
  <c r="R114" i="2"/>
  <c r="S114" i="2"/>
  <c r="T114" i="2"/>
  <c r="L47" i="5"/>
  <c r="L46" i="5" l="1"/>
  <c r="L45" i="5"/>
  <c r="P113" i="2" l="1"/>
  <c r="Q113" i="2"/>
  <c r="R113" i="2"/>
  <c r="S113" i="2"/>
  <c r="T113" i="2"/>
  <c r="P112" i="2"/>
  <c r="Q112" i="2"/>
  <c r="R112" i="2"/>
  <c r="S112" i="2"/>
  <c r="T112" i="2"/>
  <c r="P110" i="2" l="1"/>
  <c r="Q110" i="2"/>
  <c r="R110" i="2"/>
  <c r="S110" i="2"/>
  <c r="T110" i="2"/>
  <c r="P109" i="2"/>
  <c r="Q109" i="2"/>
  <c r="R109" i="2"/>
  <c r="S109" i="2"/>
  <c r="T109" i="2"/>
  <c r="M54" i="9" l="1"/>
  <c r="N54" i="9"/>
  <c r="O54" i="9"/>
  <c r="M53" i="9"/>
  <c r="N53" i="9"/>
  <c r="O53" i="9"/>
  <c r="M52" i="9"/>
  <c r="N52" i="9"/>
  <c r="O52" i="9"/>
  <c r="Q98" i="2"/>
  <c r="M51" i="9"/>
  <c r="N51" i="9"/>
  <c r="O51" i="9"/>
  <c r="M50" i="9"/>
  <c r="N50" i="9"/>
  <c r="O50" i="9"/>
  <c r="M49" i="9"/>
  <c r="N49" i="9"/>
  <c r="O49" i="9"/>
  <c r="M48" i="9"/>
  <c r="N48" i="9"/>
  <c r="O48" i="9"/>
  <c r="M47" i="9"/>
  <c r="N47" i="9"/>
  <c r="O47" i="9"/>
  <c r="M46" i="9"/>
  <c r="N46" i="9"/>
  <c r="O46" i="9"/>
  <c r="M45" i="9"/>
  <c r="N45" i="9"/>
  <c r="O45" i="9"/>
  <c r="M44" i="9"/>
  <c r="N44" i="9"/>
  <c r="O44" i="9"/>
  <c r="M43" i="9"/>
  <c r="N43" i="9"/>
  <c r="O43" i="9"/>
  <c r="L43" i="5" l="1"/>
  <c r="L44" i="5"/>
  <c r="P108" i="2"/>
  <c r="Q108" i="2"/>
  <c r="R108" i="2"/>
  <c r="S108" i="2"/>
  <c r="T108" i="2"/>
  <c r="P107" i="2"/>
  <c r="Q107" i="2"/>
  <c r="R107" i="2"/>
  <c r="S107" i="2"/>
  <c r="T107" i="2"/>
  <c r="P106" i="2"/>
  <c r="Q106" i="2"/>
  <c r="R106" i="2"/>
  <c r="S106" i="2"/>
  <c r="T106" i="2"/>
  <c r="L40" i="5" l="1"/>
  <c r="L39" i="5"/>
  <c r="L31" i="5" l="1"/>
  <c r="P104" i="2" l="1"/>
  <c r="P105" i="2"/>
  <c r="Q104" i="2"/>
  <c r="Q105" i="2"/>
  <c r="R104" i="2"/>
  <c r="R105" i="2"/>
  <c r="S104" i="2"/>
  <c r="S105" i="2"/>
  <c r="T104" i="2"/>
  <c r="T105" i="2"/>
  <c r="L38" i="5"/>
  <c r="P103" i="2" l="1"/>
  <c r="Q103" i="2"/>
  <c r="R103" i="2"/>
  <c r="S103" i="2"/>
  <c r="T103" i="2"/>
  <c r="P102" i="2" l="1"/>
  <c r="Q102" i="2"/>
  <c r="R102" i="2"/>
  <c r="S102" i="2"/>
  <c r="T102" i="2"/>
  <c r="P101" i="2" l="1"/>
  <c r="Q101" i="2"/>
  <c r="R101" i="2"/>
  <c r="S101" i="2"/>
  <c r="T101" i="2"/>
  <c r="M42" i="9" l="1"/>
  <c r="N42" i="9"/>
  <c r="O42" i="9"/>
  <c r="M41" i="9"/>
  <c r="N41" i="9"/>
  <c r="O41" i="9"/>
  <c r="M40" i="9"/>
  <c r="N40" i="9"/>
  <c r="O40" i="9"/>
  <c r="M39" i="9"/>
  <c r="N39" i="9"/>
  <c r="O39" i="9"/>
  <c r="M38" i="9"/>
  <c r="N38" i="9"/>
  <c r="O38" i="9"/>
  <c r="M37" i="9"/>
  <c r="N37" i="9"/>
  <c r="O37" i="9"/>
  <c r="M36" i="9"/>
  <c r="N36" i="9"/>
  <c r="O36" i="9"/>
  <c r="M35" i="9"/>
  <c r="N35" i="9"/>
  <c r="O35" i="9"/>
  <c r="M34" i="9"/>
  <c r="N34" i="9"/>
  <c r="O34" i="9"/>
  <c r="M33" i="9"/>
  <c r="N33" i="9"/>
  <c r="O33" i="9"/>
  <c r="L37" i="5"/>
  <c r="L36" i="5"/>
  <c r="P100" i="2" l="1"/>
  <c r="Q100" i="2"/>
  <c r="R100" i="2"/>
  <c r="S100" i="2"/>
  <c r="T100" i="2"/>
  <c r="P99" i="2"/>
  <c r="Q99" i="2"/>
  <c r="R99" i="2"/>
  <c r="S99" i="2"/>
  <c r="T99" i="2"/>
  <c r="L35" i="5" l="1"/>
  <c r="P98" i="2"/>
  <c r="R98" i="2"/>
  <c r="S98" i="2"/>
  <c r="T98" i="2"/>
  <c r="P97" i="2"/>
  <c r="Q97" i="2"/>
  <c r="R97" i="2"/>
  <c r="S97" i="2"/>
  <c r="T97" i="2"/>
  <c r="P96" i="2" l="1"/>
  <c r="Q96" i="2"/>
  <c r="R96" i="2"/>
  <c r="S96" i="2"/>
  <c r="T96" i="2"/>
  <c r="P95" i="2"/>
  <c r="Q95" i="2"/>
  <c r="R95" i="2"/>
  <c r="S95" i="2"/>
  <c r="T95" i="2"/>
  <c r="L34" i="5" l="1"/>
  <c r="L33" i="5"/>
  <c r="F33" i="3" l="1"/>
  <c r="L32" i="5" l="1"/>
  <c r="L30" i="5"/>
  <c r="L29" i="5"/>
  <c r="P94" i="2" l="1"/>
  <c r="Q94" i="2"/>
  <c r="R94" i="2"/>
  <c r="S94" i="2"/>
  <c r="T94" i="2"/>
  <c r="P93" i="2"/>
  <c r="Q93" i="2"/>
  <c r="R93" i="2"/>
  <c r="S93" i="2"/>
  <c r="T93" i="2"/>
  <c r="L28" i="5" l="1"/>
  <c r="P92" i="2" l="1"/>
  <c r="Q92" i="2"/>
  <c r="R92" i="2"/>
  <c r="S92" i="2"/>
  <c r="T92" i="2"/>
  <c r="P88" i="2"/>
  <c r="Q88" i="2"/>
  <c r="R88" i="2"/>
  <c r="S88" i="2"/>
  <c r="T88" i="2"/>
  <c r="P87" i="2" l="1"/>
  <c r="Q87" i="2"/>
  <c r="R87" i="2"/>
  <c r="S87" i="2"/>
  <c r="T87" i="2"/>
  <c r="P89" i="2"/>
  <c r="Q89" i="2"/>
  <c r="R89" i="2"/>
  <c r="S89" i="2"/>
  <c r="T89" i="2"/>
  <c r="L26" i="5" l="1"/>
  <c r="L27" i="5"/>
  <c r="P91" i="2" l="1"/>
  <c r="Q91" i="2"/>
  <c r="R91" i="2"/>
  <c r="S91" i="2"/>
  <c r="T91" i="2"/>
  <c r="F1" i="13" l="1"/>
  <c r="F3" i="13" s="1"/>
  <c r="P90" i="2" l="1"/>
  <c r="Q90" i="2"/>
  <c r="R90" i="2"/>
  <c r="S90" i="2"/>
  <c r="T90" i="2"/>
  <c r="M30" i="9" l="1"/>
  <c r="M31" i="9"/>
  <c r="M32" i="9"/>
  <c r="N30" i="9"/>
  <c r="N31" i="9"/>
  <c r="N32" i="9"/>
  <c r="O30" i="9"/>
  <c r="O31" i="9"/>
  <c r="O32" i="9"/>
  <c r="M29" i="9"/>
  <c r="N29" i="9"/>
  <c r="O29" i="9"/>
  <c r="M28" i="9"/>
  <c r="N28" i="9"/>
  <c r="O28" i="9"/>
  <c r="M27" i="9"/>
  <c r="N27" i="9"/>
  <c r="O27" i="9"/>
  <c r="M26" i="9"/>
  <c r="N26" i="9"/>
  <c r="O26" i="9"/>
  <c r="M25" i="9"/>
  <c r="N25" i="9"/>
  <c r="O25" i="9"/>
  <c r="M24" i="9"/>
  <c r="N24" i="9"/>
  <c r="O24" i="9"/>
  <c r="L25" i="5"/>
  <c r="P83" i="2" l="1"/>
  <c r="Q83" i="2"/>
  <c r="R83" i="2"/>
  <c r="S83" i="2"/>
  <c r="T83" i="2"/>
  <c r="P82" i="2" l="1"/>
  <c r="Q82" i="2"/>
  <c r="R82" i="2"/>
  <c r="S82" i="2"/>
  <c r="T82" i="2"/>
  <c r="L24" i="5"/>
  <c r="L23" i="5"/>
  <c r="P84" i="2" l="1"/>
  <c r="Q84" i="2"/>
  <c r="R84" i="2"/>
  <c r="S84" i="2"/>
  <c r="T84" i="2"/>
  <c r="M32" i="12" l="1"/>
  <c r="P32" i="12"/>
  <c r="O8" i="9" l="1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D6" i="9" l="1"/>
  <c r="L9" i="5" l="1"/>
  <c r="Q62" i="2"/>
  <c r="P85" i="2" l="1"/>
  <c r="Q85" i="2"/>
  <c r="R85" i="2"/>
  <c r="S85" i="2"/>
  <c r="T85" i="2"/>
  <c r="L13" i="5" l="1"/>
  <c r="P86" i="2" l="1"/>
  <c r="Q86" i="2"/>
  <c r="R86" i="2"/>
  <c r="S86" i="2"/>
  <c r="T86" i="2"/>
  <c r="P81" i="2" l="1"/>
  <c r="Q81" i="2"/>
  <c r="R81" i="2"/>
  <c r="S81" i="2"/>
  <c r="T81" i="2"/>
  <c r="P80" i="2" l="1"/>
  <c r="Q80" i="2"/>
  <c r="R80" i="2"/>
  <c r="S80" i="2"/>
  <c r="T80" i="2"/>
  <c r="L19" i="5" l="1"/>
  <c r="P79" i="2"/>
  <c r="Q79" i="2"/>
  <c r="R79" i="2"/>
  <c r="S79" i="2"/>
  <c r="T79" i="2"/>
  <c r="P78" i="2"/>
  <c r="Q78" i="2"/>
  <c r="R78" i="2"/>
  <c r="S78" i="2"/>
  <c r="T78" i="2"/>
  <c r="T8" i="2" l="1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L22" i="5" l="1"/>
  <c r="L21" i="5"/>
  <c r="P77" i="2" l="1"/>
  <c r="Q77" i="2"/>
  <c r="L20" i="5" l="1"/>
  <c r="L18" i="5"/>
  <c r="L17" i="5" l="1"/>
  <c r="L16" i="5"/>
  <c r="P76" i="2" l="1"/>
  <c r="Q76" i="2"/>
  <c r="L15" i="5" l="1"/>
  <c r="P75" i="2" l="1"/>
  <c r="Q75" i="2"/>
  <c r="P74" i="2"/>
  <c r="Q74" i="2"/>
  <c r="P73" i="2"/>
  <c r="Q73" i="2"/>
  <c r="Q8" i="2" l="1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3" i="2"/>
  <c r="Q64" i="2"/>
  <c r="Q65" i="2"/>
  <c r="Q66" i="2"/>
  <c r="Q67" i="2"/>
  <c r="Q68" i="2"/>
  <c r="Q69" i="2"/>
  <c r="Q70" i="2"/>
  <c r="Q71" i="2"/>
  <c r="Q72" i="2"/>
  <c r="L8" i="5"/>
  <c r="L10" i="5"/>
  <c r="L11" i="5"/>
  <c r="L12" i="5"/>
  <c r="L14" i="5"/>
  <c r="K56" i="5" l="1"/>
  <c r="D56" i="5"/>
  <c r="K55" i="5"/>
  <c r="D55" i="5"/>
  <c r="K54" i="5"/>
  <c r="D54" i="5"/>
  <c r="D52" i="5"/>
  <c r="D51" i="5"/>
  <c r="K53" i="5"/>
  <c r="D53" i="5"/>
  <c r="K52" i="5"/>
  <c r="D41" i="5"/>
  <c r="K41" i="5"/>
  <c r="D42" i="5"/>
  <c r="K42" i="5"/>
  <c r="K51" i="5"/>
  <c r="K50" i="5"/>
  <c r="D50" i="5"/>
  <c r="K49" i="5"/>
  <c r="D48" i="5"/>
  <c r="D49" i="5"/>
  <c r="K48" i="5"/>
  <c r="D47" i="5"/>
  <c r="K47" i="5"/>
  <c r="D45" i="5"/>
  <c r="D46" i="5"/>
  <c r="K46" i="5"/>
  <c r="K45" i="5"/>
  <c r="K44" i="5"/>
  <c r="K43" i="5"/>
  <c r="K40" i="5"/>
  <c r="D44" i="5"/>
  <c r="D43" i="5"/>
  <c r="K39" i="5"/>
  <c r="D40" i="5"/>
  <c r="D39" i="5"/>
  <c r="K31" i="5"/>
  <c r="D31" i="5"/>
  <c r="D38" i="5"/>
  <c r="K38" i="5"/>
  <c r="K36" i="5"/>
  <c r="K37" i="5"/>
  <c r="D36" i="5"/>
  <c r="D37" i="5"/>
  <c r="K35" i="5"/>
  <c r="D35" i="5"/>
  <c r="K34" i="5"/>
  <c r="D34" i="5"/>
  <c r="D33" i="5"/>
  <c r="K33" i="5"/>
  <c r="K29" i="5"/>
  <c r="K30" i="5"/>
  <c r="K32" i="5"/>
  <c r="D32" i="5"/>
  <c r="D30" i="5"/>
  <c r="D29" i="5"/>
  <c r="D27" i="5"/>
  <c r="D26" i="5"/>
  <c r="D28" i="5"/>
  <c r="D25" i="5"/>
  <c r="P72" i="2"/>
  <c r="P71" i="2"/>
  <c r="P70" i="2" l="1"/>
  <c r="P69" i="2" l="1"/>
  <c r="P68" i="2"/>
  <c r="P63" i="2"/>
  <c r="P67" i="2" l="1"/>
  <c r="P66" i="2"/>
  <c r="P65" i="2"/>
  <c r="P64" i="2"/>
  <c r="P62" i="2"/>
  <c r="P61" i="2"/>
  <c r="P60" i="2"/>
  <c r="P59" i="2" l="1"/>
  <c r="P58" i="2" l="1"/>
  <c r="P57" i="2"/>
  <c r="P56" i="2"/>
  <c r="P55" i="2"/>
  <c r="P54" i="2" l="1"/>
  <c r="D11" i="3"/>
  <c r="P53" i="2"/>
  <c r="P52" i="2" l="1"/>
  <c r="P51" i="2"/>
  <c r="P50" i="2" l="1"/>
  <c r="P49" i="2"/>
  <c r="P48" i="2" l="1"/>
  <c r="P47" i="2"/>
  <c r="P46" i="2"/>
  <c r="P45" i="2"/>
  <c r="G2" i="2" l="1"/>
  <c r="P21" i="2"/>
  <c r="P44" i="2" l="1"/>
  <c r="P43" i="2" l="1"/>
  <c r="P42" i="2"/>
  <c r="P41" i="2"/>
  <c r="P40" i="2" l="1"/>
  <c r="P39" i="2"/>
  <c r="P38" i="2"/>
  <c r="P37" i="2" l="1"/>
  <c r="P36" i="2" l="1"/>
  <c r="P35" i="2"/>
  <c r="P34" i="2"/>
  <c r="P33" i="2"/>
  <c r="P32" i="2" l="1"/>
  <c r="P31" i="2"/>
  <c r="P30" i="2"/>
  <c r="P29" i="2"/>
  <c r="P28" i="2" l="1"/>
  <c r="P27" i="2"/>
  <c r="P26" i="2"/>
  <c r="P25" i="2" l="1"/>
  <c r="P24" i="2"/>
  <c r="P23" i="2" l="1"/>
  <c r="P22" i="2"/>
  <c r="G6" i="2" l="1"/>
  <c r="F6" i="2"/>
  <c r="P20" i="2" l="1"/>
  <c r="P19" i="2"/>
  <c r="P18" i="2"/>
  <c r="P17" i="2"/>
  <c r="P16" i="2" l="1"/>
  <c r="P15" i="2"/>
  <c r="P8" i="2" l="1"/>
  <c r="P9" i="2"/>
  <c r="P10" i="2"/>
  <c r="P11" i="2"/>
  <c r="P12" i="2"/>
  <c r="P13" i="2"/>
  <c r="P14" i="2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  <connection id="3" name="Связанная таблица_Таблица16" type="102" refreshedVersion="6" minRefreshableVersion="5">
    <extLst>
      <ext xmlns:x15="http://schemas.microsoft.com/office/spreadsheetml/2010/11/main" uri="{DE250136-89BD-433C-8126-D09CA5730AF9}">
        <x15:connection id="Таблица16">
          <x15:rangePr sourceName="_xlcn.Связаннаятаблица_Таблица161"/>
        </x15:connection>
      </ext>
    </extLst>
  </connection>
  <connection id="4" name="Связанная таблица_Таблица163" type="102" refreshedVersion="6" minRefreshableVersion="5">
    <extLst>
      <ext xmlns:x15="http://schemas.microsoft.com/office/spreadsheetml/2010/11/main" uri="{DE250136-89BD-433C-8126-D09CA5730AF9}">
        <x15:connection id="Таблица163">
          <x15:rangePr sourceName="_xlcn.Связаннаятаблица_Таблица1631"/>
        </x15:connection>
      </ext>
    </extLst>
  </connection>
</connections>
</file>

<file path=xl/sharedStrings.xml><?xml version="1.0" encoding="utf-8"?>
<sst xmlns="http://schemas.openxmlformats.org/spreadsheetml/2006/main" count="2055" uniqueCount="223">
  <si>
    <t xml:space="preserve">ТХ </t>
  </si>
  <si>
    <t>т/х Дон Стар 1 ИМО 8866735</t>
  </si>
  <si>
    <t>т/х Дон Стар 2 ИМО 7911480</t>
  </si>
  <si>
    <t>т/х Дон Стар 3 ИМО 7911507</t>
  </si>
  <si>
    <t>т/х Дон Стар 4 ИМО 7911478</t>
  </si>
  <si>
    <t>т/х Дон Стар 5 ИМО 8955469</t>
  </si>
  <si>
    <t>т/х Дон Стар 6 ИМО 8951396</t>
  </si>
  <si>
    <t>т/х Дон Стар 7 ИМО 8844153</t>
  </si>
  <si>
    <t>т/х Дон Стар 8 ИМО 8884957</t>
  </si>
  <si>
    <t xml:space="preserve">Порт  погрузки  </t>
  </si>
  <si>
    <t xml:space="preserve">порт Гранит  </t>
  </si>
  <si>
    <t xml:space="preserve">Сюрвеер  </t>
  </si>
  <si>
    <t xml:space="preserve">План  отгрузки   </t>
  </si>
  <si>
    <t xml:space="preserve">Терминал Степь  </t>
  </si>
  <si>
    <t xml:space="preserve">Порт Грейн  </t>
  </si>
  <si>
    <t>т/х Герой И.И.Петров//нб Балтис ИМО  2186884</t>
  </si>
  <si>
    <t xml:space="preserve">Бюро Веритас </t>
  </si>
  <si>
    <t>Котекна</t>
  </si>
  <si>
    <t>Вес  к  погрузке  тн</t>
  </si>
  <si>
    <t>РКХП</t>
  </si>
  <si>
    <t xml:space="preserve">Турция 12,5% </t>
  </si>
  <si>
    <t xml:space="preserve">Египет 12,5% </t>
  </si>
  <si>
    <t>Погрузка</t>
  </si>
  <si>
    <t>Волго-Дон 5079 ИМО 8852784</t>
  </si>
  <si>
    <t>m/v April 9 ИМО 8319392</t>
  </si>
  <si>
    <t>m/v Trackhound ИМО 9218052</t>
  </si>
  <si>
    <t>m/v Babylon ИМО 8902474</t>
  </si>
  <si>
    <t>m/v Loris ИМО 8902436</t>
  </si>
  <si>
    <t>m/v ASOMATOS ИМО 9289855</t>
  </si>
  <si>
    <t xml:space="preserve">Дата  начала  грузовых операций  </t>
  </si>
  <si>
    <t xml:space="preserve">Дата  окончания грузовых операций  </t>
  </si>
  <si>
    <t>Дата  составления  B\L</t>
  </si>
  <si>
    <t xml:space="preserve">Агропорт Устье  Дона </t>
  </si>
  <si>
    <t>Вес по  B\L</t>
  </si>
  <si>
    <t xml:space="preserve">Вес  на  борту   до  начала  грузовых операций </t>
  </si>
  <si>
    <t xml:space="preserve">Вес  на  борту   после  окончания    грузовых операций </t>
  </si>
  <si>
    <t>NOR погрузка</t>
  </si>
  <si>
    <t xml:space="preserve">Статус Рейсового  задания  </t>
  </si>
  <si>
    <t>Догрузка2</t>
  </si>
  <si>
    <t>Догрузка1</t>
  </si>
  <si>
    <t>Архив</t>
  </si>
  <si>
    <t xml:space="preserve">РКХП </t>
  </si>
  <si>
    <t>Турция 12,5%</t>
  </si>
  <si>
    <t>СЖС</t>
  </si>
  <si>
    <t>РММП</t>
  </si>
  <si>
    <t xml:space="preserve">Отправитель   </t>
  </si>
  <si>
    <t>ООО «Ресурс Агро Трейдинг»</t>
  </si>
  <si>
    <t>ООО ТК «Ресурс-Юг»</t>
  </si>
  <si>
    <t>TBN/Египет 12,5%</t>
  </si>
  <si>
    <t xml:space="preserve">ВТП </t>
  </si>
  <si>
    <t xml:space="preserve">Чечевица  /Турция  </t>
  </si>
  <si>
    <t>Топ Фрейм</t>
  </si>
  <si>
    <t>TBN /Турция  14,5%</t>
  </si>
  <si>
    <t xml:space="preserve"> 05.11.25 22:00</t>
  </si>
  <si>
    <t>РЗТ</t>
  </si>
  <si>
    <t xml:space="preserve">Порт Эльдако </t>
  </si>
  <si>
    <t xml:space="preserve">РЗТ </t>
  </si>
  <si>
    <t xml:space="preserve"> 20.11.2025 21:20</t>
  </si>
  <si>
    <t xml:space="preserve"> 22.11.25 14:20</t>
  </si>
  <si>
    <t>ООО Родные Поля</t>
  </si>
  <si>
    <t xml:space="preserve">Накопитель </t>
  </si>
  <si>
    <t xml:space="preserve"> т/х Ugah Confidence</t>
  </si>
  <si>
    <t xml:space="preserve">Кукуруза  </t>
  </si>
  <si>
    <t>т/х В.Успенский   ИМО 8946389</t>
  </si>
  <si>
    <t>т/х Волго-Дон 217 ИМО 8946377</t>
  </si>
  <si>
    <t xml:space="preserve"> т/х Н.Мешков ИМО 8862507</t>
  </si>
  <si>
    <t xml:space="preserve">Ячмень </t>
  </si>
  <si>
    <t>ООО АМТ</t>
  </si>
  <si>
    <t>Следует на выгрузку</t>
  </si>
  <si>
    <t xml:space="preserve">СЕВЕР КЕК . Загружен . </t>
  </si>
  <si>
    <t>ЮГ КЕК .Загружен</t>
  </si>
  <si>
    <t>Выгрузка</t>
  </si>
  <si>
    <t>ЮГ КЕК .Выгружен</t>
  </si>
  <si>
    <t>Прямой рейс . Следует на выгрузку</t>
  </si>
  <si>
    <t>Ожидание погрузки .</t>
  </si>
  <si>
    <t>Ожидание Разгрузки</t>
  </si>
  <si>
    <t>NOR Разгрузка</t>
  </si>
  <si>
    <t>Id key</t>
  </si>
  <si>
    <t>Id</t>
  </si>
  <si>
    <t>Дата  составления  B\L речник</t>
  </si>
  <si>
    <t xml:space="preserve">Дата направления уведомления </t>
  </si>
  <si>
    <t>Статус</t>
  </si>
  <si>
    <t>Операция</t>
  </si>
  <si>
    <t xml:space="preserve"> т/х Волжский 33 ИМО 8955641</t>
  </si>
  <si>
    <t>Вес по  B\L   мт</t>
  </si>
  <si>
    <t>Остановка  погрузки. Метео .</t>
  </si>
  <si>
    <t>Остановка  погрузки. Ожидание груза.</t>
  </si>
  <si>
    <t>Общий итог</t>
  </si>
  <si>
    <t xml:space="preserve">Суда  под  погрузкой  </t>
  </si>
  <si>
    <t xml:space="preserve"> На борту   мт</t>
  </si>
  <si>
    <t xml:space="preserve"> Вес по  B\L</t>
  </si>
  <si>
    <t>Операционая сводка</t>
  </si>
  <si>
    <t xml:space="preserve"> Вес по  B\L  мт</t>
  </si>
  <si>
    <t xml:space="preserve"> Вес по  B\L мт</t>
  </si>
  <si>
    <t>Вес  к  погрузке  мт</t>
  </si>
  <si>
    <t xml:space="preserve">Прямые рейсы  </t>
  </si>
  <si>
    <t>Ремонт</t>
  </si>
  <si>
    <t xml:space="preserve"> Прошел КЕК. Следует  на погрузку.  </t>
  </si>
  <si>
    <t>Прямой рейс . На рейде порта  выгрузки</t>
  </si>
  <si>
    <t xml:space="preserve"> 03.11.25 4:45</t>
  </si>
  <si>
    <t xml:space="preserve"> 02.11.25 7:10</t>
  </si>
  <si>
    <t>Год</t>
  </si>
  <si>
    <t>Месяц</t>
  </si>
  <si>
    <t>Неделя</t>
  </si>
  <si>
    <t xml:space="preserve">Вес  выгруженный в накопитель </t>
  </si>
  <si>
    <t xml:space="preserve">     </t>
  </si>
  <si>
    <t xml:space="preserve">  </t>
  </si>
  <si>
    <t xml:space="preserve">Прошел КЕК. Следует  на погрузку.  </t>
  </si>
  <si>
    <t>Ожидание убытия в рейс.</t>
  </si>
  <si>
    <t xml:space="preserve">На рейде порта погрузки </t>
  </si>
  <si>
    <t>Выгружен.Следует на погрузку.</t>
  </si>
  <si>
    <t>Ожидание каравана ТФК1 (Север КЕК)</t>
  </si>
  <si>
    <t>Ожидание каравана ТФК2 (Должанка)</t>
  </si>
  <si>
    <t xml:space="preserve">Производственная неделя </t>
  </si>
  <si>
    <t xml:space="preserve">m/v Zaltron ИМО 9114139 </t>
  </si>
  <si>
    <t>Вес  погруженный</t>
  </si>
  <si>
    <t>Волго-Дон 5079 ИМО 8852784/46019</t>
  </si>
  <si>
    <t>т/х Дон Стар 2 ИМО 7911480/46035</t>
  </si>
  <si>
    <t>т/х В.Успенский   ИМО 8946389/46030</t>
  </si>
  <si>
    <t>т/х Дон Стар 4 ИМО 7911478/46035</t>
  </si>
  <si>
    <t>т/х Дон Стар 1 ИМО 8866735/46039</t>
  </si>
  <si>
    <t>Морское Судно</t>
  </si>
  <si>
    <t>Дата  составления  B\L Морского Судна</t>
  </si>
  <si>
    <t>Волго-Дон 5079 ИМО 8852784/45976</t>
  </si>
  <si>
    <t>m/v Nour Star ИМО 9296315</t>
  </si>
  <si>
    <t>т/х Дон Стар 7 ИМО 8844153/46003</t>
  </si>
  <si>
    <t>т/х Дон Стар 8 ИМО 8884957/46007</t>
  </si>
  <si>
    <t>т/х Дон Стар 6 ИМО 8951396/46009</t>
  </si>
  <si>
    <t>т/х Дон Стар 5 ИМО 8955469/46011</t>
  </si>
  <si>
    <t>т/х Дон Стар 4 ИМО 7911478/46009</t>
  </si>
  <si>
    <t>т/х Дон Стар 1 ИМО 8866735/46013</t>
  </si>
  <si>
    <t>т/х Дон Стар 8 ИМО 8884957/46018</t>
  </si>
  <si>
    <t>т/х Дон Стар 6 ИМО 8951396/46025</t>
  </si>
  <si>
    <t>Порт  погрузки</t>
  </si>
  <si>
    <t xml:space="preserve">Речное судно </t>
  </si>
  <si>
    <t>Дата  составления  B\L речника</t>
  </si>
  <si>
    <t>Вес по  B\L речника</t>
  </si>
  <si>
    <t xml:space="preserve"> Вес погр в Морское Судно </t>
  </si>
  <si>
    <t xml:space="preserve">В накопителе </t>
  </si>
  <si>
    <t>Произв.Неделя</t>
  </si>
  <si>
    <t>месяц</t>
  </si>
  <si>
    <t>год</t>
  </si>
  <si>
    <t>Следует в Караване на ВХОД АДМК</t>
  </si>
  <si>
    <t>Следует в Азовском море</t>
  </si>
  <si>
    <t>СРЗ "Мидель"</t>
  </si>
  <si>
    <t>До  25 000</t>
  </si>
  <si>
    <t>25 001-50 000</t>
  </si>
  <si>
    <t xml:space="preserve">Обьемная категория  </t>
  </si>
  <si>
    <t xml:space="preserve">Сравнение  действующих  и новых  ставок  согласно Доп.соглашения  ООО Родные Поля  </t>
  </si>
  <si>
    <t xml:space="preserve">Тариф  по  Доп соглашению </t>
  </si>
  <si>
    <t>Список  отгруженных судов  терминал  "Родные поля  "</t>
  </si>
  <si>
    <t>Итог</t>
  </si>
  <si>
    <t>Следуют  на  Рейдовую перевалку</t>
  </si>
  <si>
    <t xml:space="preserve">          Поизводственная неделя</t>
  </si>
  <si>
    <t xml:space="preserve">Судов  в работе </t>
  </si>
  <si>
    <t xml:space="preserve">Ожидание Выгрузки </t>
  </si>
  <si>
    <t>т/х Волго-Дон 217 ИМО 8946377/46021</t>
  </si>
  <si>
    <t>т/х Дон Стар 5 ИМО 8955469/45997</t>
  </si>
  <si>
    <t>Волго-Дон 5079 ИМО 8852784/45999</t>
  </si>
  <si>
    <t>т/х Дон Стар 7 ИМО 8844153/46017</t>
  </si>
  <si>
    <t>т/х Дон Стар 5 ИМО 8955469/46022</t>
  </si>
  <si>
    <t>т/х Дон Стар 2 ИМО 7911480/46020</t>
  </si>
  <si>
    <t>т/х Дон Стар 2 ИМО 7911480/46049</t>
  </si>
  <si>
    <t xml:space="preserve">до 25 000 тонн – 550 руб. за тонну </t>
  </si>
  <si>
    <t>свыше 25 000 тонн и до 60 000 тонн – 535 руб. за тонну</t>
  </si>
  <si>
    <t>свыше 60 000 тонн и до 115 000 тонн – 515 руб. за тонну</t>
  </si>
  <si>
    <t>свыше 115 000 тонн и до 200 000 тонн – 500 руб. за тонну</t>
  </si>
  <si>
    <t>свыше 200 000 тонн – 450 руб. за тонну</t>
  </si>
  <si>
    <t>25 001-60 000</t>
  </si>
  <si>
    <t>60 001-115 000</t>
  </si>
  <si>
    <t>115 001-200 000</t>
  </si>
  <si>
    <t xml:space="preserve">старое  доп  </t>
  </si>
  <si>
    <t xml:space="preserve">Новое  </t>
  </si>
  <si>
    <t>т/х Астра Меридиан ИМО8721399</t>
  </si>
  <si>
    <t>m/v Zaltron ИМО 9114139</t>
  </si>
  <si>
    <t>т/х Святой Спиридон ИМО9087104</t>
  </si>
  <si>
    <t>т/х Дон 7111420</t>
  </si>
  <si>
    <t>т/х Волго-Дон 5011 ИМО8951310</t>
  </si>
  <si>
    <t> EVRIKA (IMO: 9154567,</t>
  </si>
  <si>
    <t>m/v Evrika ИМО 9154567</t>
  </si>
  <si>
    <t>т/х В.Успенский   ИМО 8946389/46054</t>
  </si>
  <si>
    <t>т/х Дон Стар 2 ИМО 7911480/46069</t>
  </si>
  <si>
    <t>т/х Дон Стар 5 ИМО 8955469/46067</t>
  </si>
  <si>
    <t>т/х Дон Стар 6 ИМО 8951396/46038</t>
  </si>
  <si>
    <t>т/х Дон Стар 5 ИМО 8955469/46049</t>
  </si>
  <si>
    <t>т/х Дон Стар 7 ИМО 8844153/46077</t>
  </si>
  <si>
    <t>т/х Дон Стар 2 ИМО 7911480/46081</t>
  </si>
  <si>
    <t>т/х Волго-Дон 217 ИМО 8946377/46080</t>
  </si>
  <si>
    <t>т/х Дон 7111420/46082</t>
  </si>
  <si>
    <t>Отправитель. Речник</t>
  </si>
  <si>
    <t xml:space="preserve">Отправитель.Моряк </t>
  </si>
  <si>
    <t>т/х Волго-Дон 5043 ИМО8866321</t>
  </si>
  <si>
    <t>т/х Абрамцево ИМО8947955</t>
  </si>
  <si>
    <t>т/х Волго-Дон5007 ИМО8951310</t>
  </si>
  <si>
    <t>т/х Дон Стар 5 ИМО 8955469/46082</t>
  </si>
  <si>
    <t>т/х Дон Стар 4 ИМО 7911478/46083</t>
  </si>
  <si>
    <t>т/х Астра Меридиан ИМО8721399/46086</t>
  </si>
  <si>
    <t>т/х Волго-Дон 5011 ИМО8951310/46088</t>
  </si>
  <si>
    <t>т/х Дон Стар 7 ИМО 8844153/46090</t>
  </si>
  <si>
    <t>т/х В.Успенский   ИМО 8946389/46088</t>
  </si>
  <si>
    <t>т/х Святой Спиридон ИМО9087104/46089</t>
  </si>
  <si>
    <t>т/х Дон 7111420/46090</t>
  </si>
  <si>
    <t>Волго-Дон 5079 ИМО 8852784/46091</t>
  </si>
  <si>
    <t>т/х Дон Стар 4 ИМО 7911478/46092</t>
  </si>
  <si>
    <t>т/х Дон Стар 5 ИМО 8955469/46091</t>
  </si>
  <si>
    <t xml:space="preserve">Прямая перевалка </t>
  </si>
  <si>
    <t xml:space="preserve">Перевалка через накопитель </t>
  </si>
  <si>
    <t>Порт Прибой</t>
  </si>
  <si>
    <t>(пусто)</t>
  </si>
  <si>
    <t>т/х Соммерс ИМО7111420</t>
  </si>
  <si>
    <t>т/х Линда1 ИМО8951334</t>
  </si>
  <si>
    <t>т/х Волго-Дон219 ИМО8959207</t>
  </si>
  <si>
    <t>т/х Дон Стар 2 ИМО 7911480/46093</t>
  </si>
  <si>
    <t>т/х Волго-Дон 5043 ИМО8866321/46096</t>
  </si>
  <si>
    <t>т/х Святой Спиридон ИМО9087104/46098</t>
  </si>
  <si>
    <t>т/х Дон 7111420/46096</t>
  </si>
  <si>
    <t>Волго-Дон 5079 ИМО 8852784/46099</t>
  </si>
  <si>
    <t>ВТП</t>
  </si>
  <si>
    <t>Столбец1</t>
  </si>
  <si>
    <t>Сумма по полю Вес по  B\L   мт</t>
  </si>
  <si>
    <t>Март</t>
  </si>
  <si>
    <t>Агропорт Устье  Дона</t>
  </si>
  <si>
    <t>нет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</si>
</sst>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0"/>
    <numFmt numFmtId="165" formatCode="dd/mm/yy\ h:mm;@"/>
    <numFmt numFmtId="166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20"/>
      <color theme="1"/>
      <name val="Calibri"/>
      <family val="2"/>
      <charset val="204"/>
      <scheme val="minor"/>
    </font>
    <font>
      <b/>
      <i/>
      <sz val="22"/>
      <color theme="1"/>
      <name val="Arial"/>
      <family val="2"/>
      <charset val="204"/>
    </font>
    <font>
      <sz val="20"/>
      <color theme="1"/>
      <name val="Calibri"/>
      <family val="2"/>
      <charset val="204"/>
      <scheme val="minor"/>
    </font>
    <font>
      <b/>
      <i/>
      <sz val="18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i/>
      <sz val="18"/>
      <color theme="1"/>
      <name val="Arial"/>
      <family val="2"/>
      <charset val="204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Arial"/>
    </font>
    <font>
      <sz val="14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34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4" fontId="0" fillId="0" borderId="4" xfId="0" applyNumberFormat="1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9" xfId="0" applyNumberFormat="1" applyBorder="1"/>
    <xf numFmtId="3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0" xfId="0" applyNumberFormat="1"/>
    <xf numFmtId="14" fontId="0" fillId="0" borderId="9" xfId="0" applyNumberFormat="1" applyBorder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165" fontId="0" fillId="0" borderId="7" xfId="0" applyNumberFormat="1" applyBorder="1" applyAlignment="1">
      <alignment horizontal="center" wrapText="1"/>
    </xf>
    <xf numFmtId="165" fontId="0" fillId="0" borderId="1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0" xfId="0" applyNumberFormat="1"/>
    <xf numFmtId="14" fontId="0" fillId="0" borderId="7" xfId="0" applyNumberFormat="1" applyBorder="1" applyAlignment="1">
      <alignment horizontal="center" wrapText="1"/>
    </xf>
    <xf numFmtId="14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0" borderId="8" xfId="0" applyNumberFormat="1" applyBorder="1" applyAlignment="1">
      <alignment horizontal="center" wrapText="1"/>
    </xf>
    <xf numFmtId="164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49" fontId="0" fillId="0" borderId="0" xfId="0" applyNumberFormat="1"/>
    <xf numFmtId="0" fontId="0" fillId="0" borderId="7" xfId="0" applyBorder="1" applyAlignment="1">
      <alignment horizontal="center" wrapText="1"/>
    </xf>
    <xf numFmtId="0" fontId="0" fillId="0" borderId="0" xfId="0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NumberFormat="1" applyBorder="1" applyAlignment="1">
      <alignment horizontal="center"/>
    </xf>
    <xf numFmtId="165" fontId="0" fillId="0" borderId="2" xfId="0" applyNumberFormat="1" applyFont="1" applyBorder="1" applyAlignment="1">
      <alignment horizontal="center"/>
    </xf>
    <xf numFmtId="14" fontId="0" fillId="0" borderId="9" xfId="0" applyNumberFormat="1" applyBorder="1" applyAlignment="1">
      <alignment wrapText="1"/>
    </xf>
    <xf numFmtId="0" fontId="0" fillId="0" borderId="10" xfId="0" applyBorder="1" applyAlignment="1">
      <alignment horizontal="center" wrapText="1"/>
    </xf>
    <xf numFmtId="0" fontId="0" fillId="2" borderId="11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1" xfId="0" applyFill="1" applyBorder="1" applyAlignment="1">
      <alignment horizontal="center" wrapText="1"/>
    </xf>
    <xf numFmtId="0" fontId="0" fillId="0" borderId="0" xfId="0" pivotButton="1" applyAlignment="1">
      <alignment horizontal="center"/>
    </xf>
    <xf numFmtId="0" fontId="0" fillId="0" borderId="0" xfId="0" applyAlignment="1"/>
    <xf numFmtId="0" fontId="0" fillId="0" borderId="0" xfId="0" pivotButton="1" applyAlignment="1">
      <alignment horizontal="center" wrapText="1"/>
    </xf>
    <xf numFmtId="1" fontId="0" fillId="0" borderId="0" xfId="0" applyNumberFormat="1"/>
    <xf numFmtId="1" fontId="0" fillId="0" borderId="7" xfId="0" applyNumberFormat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66" fontId="0" fillId="0" borderId="2" xfId="0" applyNumberFormat="1" applyBorder="1" applyAlignment="1">
      <alignment horizontal="center"/>
    </xf>
    <xf numFmtId="166" fontId="0" fillId="0" borderId="9" xfId="0" applyNumberFormat="1" applyBorder="1"/>
    <xf numFmtId="0" fontId="0" fillId="0" borderId="0" xfId="0" pivotButton="1"/>
    <xf numFmtId="0" fontId="0" fillId="0" borderId="15" xfId="0" applyBorder="1" applyAlignment="1">
      <alignment horizontal="center"/>
    </xf>
    <xf numFmtId="164" fontId="0" fillId="0" borderId="1" xfId="0" applyNumberFormat="1" applyBorder="1"/>
    <xf numFmtId="1" fontId="0" fillId="0" borderId="10" xfId="0" applyNumberForma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wrapText="1"/>
    </xf>
    <xf numFmtId="0" fontId="0" fillId="0" borderId="6" xfId="0" applyBorder="1"/>
    <xf numFmtId="0" fontId="0" fillId="0" borderId="7" xfId="0" applyBorder="1"/>
    <xf numFmtId="0" fontId="0" fillId="0" borderId="16" xfId="0" applyBorder="1" applyAlignment="1"/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/>
    <xf numFmtId="0" fontId="5" fillId="0" borderId="0" xfId="0" applyFont="1" applyBorder="1" applyAlignment="1">
      <alignment vertical="center"/>
    </xf>
    <xf numFmtId="0" fontId="8" fillId="0" borderId="0" xfId="0" applyFont="1" applyAlignment="1">
      <alignment horizontal="center"/>
    </xf>
    <xf numFmtId="0" fontId="8" fillId="0" borderId="0" xfId="0" applyFont="1"/>
    <xf numFmtId="16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wrapText="1"/>
    </xf>
    <xf numFmtId="166" fontId="0" fillId="0" borderId="4" xfId="0" applyNumberFormat="1" applyBorder="1"/>
    <xf numFmtId="0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4" fontId="0" fillId="0" borderId="2" xfId="0" applyNumberFormat="1" applyBorder="1"/>
    <xf numFmtId="3" fontId="6" fillId="0" borderId="1" xfId="0" applyNumberFormat="1" applyFont="1" applyBorder="1" applyAlignment="1">
      <alignment horizontal="center"/>
    </xf>
    <xf numFmtId="3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3" fontId="13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8" fillId="0" borderId="0" xfId="0" pivotButton="1" applyFont="1" applyAlignment="1">
      <alignment horizontal="center"/>
    </xf>
    <xf numFmtId="0" fontId="12" fillId="0" borderId="0" xfId="0" applyFont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0" fillId="0" borderId="14" xfId="0" applyBorder="1"/>
    <xf numFmtId="0" fontId="10" fillId="0" borderId="0" xfId="0" pivotButton="1" applyFont="1" applyAlignment="1">
      <alignment horizontal="center"/>
    </xf>
    <xf numFmtId="0" fontId="10" fillId="0" borderId="0" xfId="0" pivotButton="1" applyFont="1" applyAlignment="1">
      <alignment horizontal="center" wrapText="1"/>
    </xf>
    <xf numFmtId="0" fontId="10" fillId="0" borderId="0" xfId="0" pivotButton="1" applyFont="1"/>
    <xf numFmtId="164" fontId="8" fillId="0" borderId="0" xfId="0" applyNumberFormat="1" applyFont="1"/>
    <xf numFmtId="0" fontId="0" fillId="0" borderId="13" xfId="0" applyBorder="1"/>
    <xf numFmtId="3" fontId="8" fillId="0" borderId="0" xfId="0" applyNumberFormat="1" applyFont="1" applyAlignment="1">
      <alignment horizontal="center"/>
    </xf>
    <xf numFmtId="0" fontId="0" fillId="0" borderId="1" xfId="0" applyNumberFormat="1" applyBorder="1" applyAlignment="1">
      <alignment horizontal="center" wrapText="1"/>
    </xf>
    <xf numFmtId="14" fontId="0" fillId="0" borderId="13" xfId="0" applyNumberFormat="1" applyBorder="1"/>
    <xf numFmtId="0" fontId="0" fillId="0" borderId="1" xfId="0" applyBorder="1"/>
    <xf numFmtId="0" fontId="8" fillId="0" borderId="0" xfId="0" applyFont="1" applyAlignment="1">
      <alignment horizontal="right"/>
    </xf>
    <xf numFmtId="0" fontId="0" fillId="0" borderId="11" xfId="0" applyBorder="1"/>
    <xf numFmtId="14" fontId="0" fillId="0" borderId="11" xfId="0" applyNumberFormat="1" applyBorder="1"/>
    <xf numFmtId="0" fontId="0" fillId="0" borderId="12" xfId="0" applyBorder="1"/>
    <xf numFmtId="0" fontId="0" fillId="0" borderId="17" xfId="0" applyBorder="1"/>
    <xf numFmtId="164" fontId="0" fillId="5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0" fontId="10" fillId="0" borderId="0" xfId="0" applyFont="1"/>
    <xf numFmtId="14" fontId="0" fillId="0" borderId="0" xfId="0" applyNumberFormat="1" applyAlignment="1">
      <alignment horizontal="center"/>
    </xf>
    <xf numFmtId="0" fontId="0" fillId="0" borderId="18" xfId="0" applyBorder="1" applyAlignment="1">
      <alignment horizontal="center"/>
    </xf>
    <xf numFmtId="0" fontId="8" fillId="0" borderId="18" xfId="0" applyFont="1" applyBorder="1" applyAlignment="1">
      <alignment horizontal="right" vertical="center" wrapText="1"/>
    </xf>
    <xf numFmtId="164" fontId="0" fillId="0" borderId="12" xfId="0" applyNumberFormat="1" applyBorder="1"/>
    <xf numFmtId="164" fontId="0" fillId="0" borderId="14" xfId="0" applyNumberFormat="1" applyBorder="1"/>
    <xf numFmtId="1" fontId="0" fillId="0" borderId="10" xfId="0" applyNumberFormat="1" applyBorder="1" applyAlignment="1">
      <alignment horizontal="center"/>
    </xf>
    <xf numFmtId="0" fontId="0" fillId="0" borderId="11" xfId="0" pivotButton="1" applyBorder="1"/>
    <xf numFmtId="0" fontId="14" fillId="0" borderId="0" xfId="0" pivotButton="1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/>
    <xf numFmtId="164" fontId="15" fillId="0" borderId="0" xfId="0" applyNumberFormat="1" applyFont="1" applyAlignment="1">
      <alignment horizontal="center"/>
    </xf>
    <xf numFmtId="0" fontId="0" fillId="0" borderId="13" xfId="0" applyBorder="1" applyAlignment="1">
      <alignment horizontal="center"/>
    </xf>
    <xf numFmtId="0" fontId="4" fillId="0" borderId="0" xfId="0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4" fillId="0" borderId="0" xfId="0" applyFont="1" applyAlignment="1">
      <alignment horizontal="center"/>
    </xf>
    <xf numFmtId="0" fontId="9" fillId="0" borderId="0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0" fillId="2" borderId="11" xfId="0" applyNumberFormat="1" applyFill="1" applyBorder="1" applyAlignment="1">
      <alignment horizontal="center" wrapText="1"/>
    </xf>
    <xf numFmtId="0" fontId="0" fillId="0" borderId="0" xfId="0" applyFill="1"/>
    <xf numFmtId="0" fontId="0" fillId="0" borderId="11" xfId="0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</cellXfs>
  <cellStyles count="3">
    <cellStyle name="Обычный" xfId="0" builtinId="0"/>
    <cellStyle name="Обычный 2" xfId="1"/>
    <cellStyle name="Обычный 3" xfId="2"/>
  </cellStyles>
  <dxfs count="2965"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numFmt numFmtId="164" formatCode="#,##0.00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numFmt numFmtId="164" formatCode="#,##0.000"/>
    </dxf>
    <dxf>
      <numFmt numFmtId="164" formatCode="#,##0.00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wrapText="0" readingOrder="0"/>
    </dxf>
    <dxf>
      <alignment wrapTex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font>
        <sz val="14"/>
      </font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alignment horizontal="general" readingOrder="0"/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alignment horizontal="center" readingOrder="0"/>
    </dxf>
    <dxf>
      <alignment horizontal="center" readingOrder="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4"/>
      </font>
      <alignment wrapText="1" readingOrder="0"/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border>
        <top/>
        <bottom/>
      </border>
    </dxf>
    <dxf>
      <alignment horizontal="general" readingOrder="0"/>
    </dxf>
    <dxf>
      <alignment horizontal="center" readingOrder="0"/>
    </dxf>
    <dxf>
      <font>
        <sz val="14"/>
      </font>
    </dxf>
    <dxf>
      <border>
        <top/>
      </border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wrapText="1" readingOrder="0"/>
    </dxf>
    <dxf>
      <font>
        <sz val="14"/>
      </font>
    </dxf>
    <dxf>
      <font>
        <sz val="14"/>
      </font>
      <alignment horizontal="center" wrapText="1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4"/>
      </font>
    </dxf>
    <dxf>
      <font>
        <sz val="20"/>
      </font>
    </dxf>
    <dxf>
      <font>
        <sz val="20"/>
      </font>
    </dxf>
    <dxf>
      <font>
        <sz val="14"/>
      </font>
    </dxf>
    <dxf>
      <font>
        <sz val="14"/>
      </font>
    </dxf>
    <dxf>
      <font>
        <sz val="14"/>
      </font>
    </dxf>
    <dxf>
      <border>
        <bottom/>
      </border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bottom/>
      </border>
    </dxf>
    <dxf>
      <border>
        <bottom/>
      </border>
    </dxf>
    <dxf>
      <border>
        <bottom/>
      </border>
    </dxf>
    <dxf>
      <font>
        <sz val="16"/>
      </font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alignment wrapText="1" readingOrder="0"/>
    </dxf>
    <dxf>
      <font>
        <sz val="14"/>
      </font>
      <alignment horizontal="center" wrapText="1" readingOrder="0"/>
    </dxf>
    <dxf>
      <font>
        <sz val="14"/>
      </font>
      <alignment horizontal="center" wrapText="1" readingOrder="0"/>
    </dxf>
    <dxf>
      <font>
        <sz val="14"/>
      </font>
      <alignment horizontal="center" wrapText="1" readingOrder="0"/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alignment wrapText="1" readingOrder="0"/>
    </dxf>
    <dxf>
      <font>
        <sz val="14"/>
      </font>
      <alignment horizontal="center" readingOrder="0"/>
    </dxf>
    <dxf>
      <alignment horizontal="center" readingOrder="0"/>
    </dxf>
    <dxf>
      <font>
        <sz val="14"/>
      </font>
    </dxf>
    <dxf>
      <font>
        <sz val="14"/>
      </font>
      <alignment horizontal="right" wrapText="1" readingOrder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font>
        <sz val="14"/>
      </font>
      <alignment horizontal="center" readingOrder="0"/>
    </dxf>
    <dxf>
      <font>
        <b/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alignment horizontal="center" readingOrder="0"/>
    </dxf>
    <dxf>
      <alignment wrapText="1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theme="4" tint="0.79995117038483843"/>
        </lef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  <dxf>
      <border>
        <left style="thin">
          <color theme="4" tint="0.79995117038483843"/>
        </lef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  <dxf>
      <border>
        <left style="thin">
          <color theme="4" tint="0.79995117038483843"/>
        </left>
        <top style="thin">
          <color theme="4" tint="0.79995117038483843"/>
        </top>
        <bottom style="thin">
          <color theme="4" tint="0.79995117038483843"/>
        </bottom>
        <vertical style="thin">
          <color theme="4" tint="0.79995117038483843"/>
        </vertical>
        <horizontal style="thin">
          <color theme="4" tint="0.79995117038483843"/>
        </horizontal>
      </border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horizontal style="thin">
          <color theme="4" tint="0.79998168889431442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border>
        <right style="thin">
          <color theme="4" tint="0.79992065187536243"/>
        </right>
        <top style="thin">
          <color theme="4" tint="0.79992065187536243"/>
        </top>
        <bottom style="thin">
          <color theme="4" tint="0.79992065187536243"/>
        </bottom>
        <vertical style="thin">
          <color theme="4" tint="0.79992065187536243"/>
        </vertical>
        <horizontal style="thin">
          <color theme="4" tint="0.79992065187536243"/>
        </horizontal>
      </border>
    </dxf>
    <dxf>
      <alignment wrapText="1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right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font>
        <sz val="14"/>
      </font>
      <alignment horizontal="right" readingOrder="0"/>
    </dxf>
    <dxf>
      <font>
        <sz val="14"/>
      </font>
      <alignment horizontal="center" readingOrder="0"/>
    </dxf>
    <dxf>
      <border>
        <bottom style="thin">
          <color theme="4" tint="0.59996337778862885"/>
        </bottom>
      </border>
    </dxf>
    <dxf>
      <border>
        <bottom style="thin">
          <color theme="4" tint="0.59996337778862885"/>
        </bottom>
      </border>
    </dxf>
    <dxf>
      <border>
        <bottom style="thin">
          <color theme="4" tint="0.59996337778862885"/>
        </bottom>
      </border>
    </dxf>
    <dxf>
      <border>
        <bottom style="thin">
          <color theme="4" tint="0.59996337778862885"/>
        </bottom>
      </border>
    </dxf>
    <dxf>
      <border>
        <bottom style="thin">
          <color theme="4" tint="0.59996337778862885"/>
        </bottom>
      </border>
    </dxf>
    <dxf>
      <font>
        <sz val="14"/>
      </font>
    </dxf>
    <dxf>
      <font>
        <sz val="16"/>
      </font>
    </dxf>
    <dxf>
      <font>
        <sz val="14"/>
      </font>
    </dxf>
    <dxf>
      <border>
        <bottom style="thin">
          <color theme="4" tint="0.59996337778862885"/>
        </bottom>
      </border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  <alignment horizontal="right" readingOrder="0"/>
    </dxf>
    <dxf>
      <font>
        <sz val="16"/>
      </font>
      <alignment horizontal="right" readingOrder="0"/>
    </dxf>
    <dxf>
      <font>
        <sz val="16"/>
      </font>
      <alignment horizontal="right" readingOrder="0"/>
    </dxf>
    <dxf>
      <font>
        <sz val="16"/>
      </font>
      <alignment horizontal="right" readingOrder="0"/>
    </dxf>
    <dxf>
      <font>
        <sz val="16"/>
      </font>
      <alignment horizontal="right" readingOrder="0"/>
    </dxf>
    <dxf>
      <font>
        <sz val="16"/>
      </font>
      <alignment horizontal="right" readingOrder="0"/>
    </dxf>
    <dxf>
      <alignment horizontal="center" wrapText="1" readingOrder="0"/>
    </dxf>
    <dxf>
      <alignment horizontal="center" readingOrder="0"/>
    </dxf>
    <dxf>
      <font>
        <sz val="16"/>
      </font>
      <alignment horizontal="right" readingOrder="0"/>
    </dxf>
    <dxf>
      <alignment horizontal="center" readingOrder="0"/>
    </dxf>
    <dxf>
      <alignment horizontal="center" readingOrder="0"/>
    </dxf>
    <dxf>
      <font>
        <sz val="16"/>
      </font>
      <alignment horizontal="right" readingOrder="0"/>
    </dxf>
    <dxf>
      <alignment horizontal="center" readingOrder="0"/>
    </dxf>
    <dxf>
      <alignment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6"/>
      </font>
      <alignment horizontal="center" wrapText="1" readingOrder="0"/>
    </dxf>
    <dxf>
      <font>
        <sz val="16"/>
      </font>
      <alignment horizontal="center" wrapText="1" readingOrder="0"/>
    </dxf>
    <dxf>
      <font>
        <sz val="16"/>
      </font>
      <alignment horizontal="center" readingOrder="0"/>
    </dxf>
    <dxf>
      <alignment wrapText="1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b/>
        <sz val="14"/>
      </font>
      <alignment wrapText="1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left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font>
        <b/>
      </font>
    </dxf>
    <dxf>
      <alignment horizontal="right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6"/>
      </font>
    </dxf>
    <dxf>
      <font>
        <sz val="18"/>
      </font>
    </dxf>
    <dxf>
      <font>
        <sz val="18"/>
      </font>
    </dxf>
    <dxf>
      <alignment horizontal="right" readingOrder="0"/>
    </dxf>
    <dxf>
      <font>
        <b/>
      </font>
    </dxf>
    <dxf>
      <font>
        <sz val="12"/>
      </font>
    </dxf>
    <dxf>
      <font>
        <sz val="14"/>
      </font>
    </dxf>
    <dxf>
      <font>
        <b/>
        <sz val="14"/>
      </font>
    </dxf>
    <dxf>
      <font>
        <b/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b/>
        <sz val="14"/>
      </font>
      <alignment horizontal="center" readingOrder="0"/>
    </dxf>
    <dxf>
      <font>
        <b/>
        <sz val="14"/>
      </font>
      <alignment horizontal="center" readingOrder="0"/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sz val="14"/>
      </font>
    </dxf>
    <dxf>
      <font>
        <b/>
        <sz val="14"/>
      </font>
      <alignment horizontal="center" readingOrder="0"/>
    </dxf>
    <dxf>
      <font>
        <b/>
        <sz val="14"/>
      </font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general" readingOrder="0"/>
    </dxf>
    <dxf>
      <alignment horizontal="center" readingOrder="0"/>
    </dxf>
    <dxf>
      <font>
        <sz val="16"/>
      </font>
    </dxf>
    <dxf>
      <font>
        <b/>
      </font>
    </dxf>
    <dxf>
      <font>
        <b/>
        <sz val="14"/>
      </font>
    </dxf>
    <dxf>
      <font>
        <b/>
        <sz val="14"/>
      </font>
    </dxf>
    <dxf>
      <font>
        <b/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0" readingOrder="0"/>
    </dxf>
    <dxf>
      <alignment wrapText="1" readingOrder="0"/>
    </dxf>
    <dxf>
      <alignment wrapText="0" readingOrder="0"/>
    </dxf>
    <dxf>
      <alignment wrapText="0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center" readingOrder="0"/>
    </dxf>
    <dxf>
      <font>
        <sz val="14"/>
      </font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alignment horizontal="general" readingOrder="0"/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alignment horizontal="center" readingOrder="0"/>
    </dxf>
    <dxf>
      <alignment horizontal="center" readingOrder="0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general" readingOrder="0"/>
    </dxf>
    <dxf>
      <alignment horizontal="center" readingOrder="0"/>
    </dxf>
    <dxf>
      <alignment horizontal="general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4"/>
      </font>
      <alignment wrapText="1" readingOrder="0"/>
    </dxf>
    <dxf>
      <alignment horizontal="center" readingOrder="0"/>
    </dxf>
    <dxf>
      <font>
        <sz val="14"/>
      </font>
    </dxf>
    <dxf>
      <font>
        <sz val="14"/>
      </font>
      <alignment horizontal="center" readingOrder="0"/>
    </dxf>
    <dxf>
      <border>
        <top/>
        <bottom/>
      </border>
    </dxf>
    <dxf>
      <alignment horizontal="general" readingOrder="0"/>
    </dxf>
    <dxf>
      <alignment horizontal="center" readingOrder="0"/>
    </dxf>
    <dxf>
      <font>
        <sz val="14"/>
      </font>
    </dxf>
    <dxf>
      <border>
        <top/>
      </border>
    </dxf>
    <dxf>
      <font>
        <sz val="14"/>
      </font>
    </dxf>
    <dxf>
      <font>
        <sz val="14"/>
      </font>
      <alignment horizontal="center" readingOrder="0"/>
    </dxf>
    <dxf>
      <font>
        <sz val="14"/>
      </font>
      <alignment horizontal="center" wrapText="1" readingOrder="0"/>
    </dxf>
    <dxf>
      <font>
        <sz val="14"/>
      </font>
    </dxf>
    <dxf>
      <font>
        <sz val="14"/>
      </font>
      <alignment horizontal="center" wrapText="1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4"/>
      </font>
    </dxf>
    <dxf>
      <font>
        <sz val="20"/>
      </font>
    </dxf>
    <dxf>
      <font>
        <sz val="20"/>
      </font>
    </dxf>
    <dxf>
      <font>
        <sz val="14"/>
      </font>
    </dxf>
    <dxf>
      <font>
        <sz val="14"/>
      </font>
    </dxf>
    <dxf>
      <font>
        <sz val="14"/>
      </font>
    </dxf>
    <dxf>
      <border>
        <bottom/>
      </border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bottom/>
      </border>
    </dxf>
    <dxf>
      <border>
        <bottom/>
      </border>
    </dxf>
    <dxf>
      <border>
        <bottom/>
      </border>
    </dxf>
    <dxf>
      <font>
        <sz val="16"/>
      </font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alignment wrapText="1" readingOrder="0"/>
    </dxf>
    <dxf>
      <font>
        <sz val="14"/>
      </font>
      <alignment horizontal="center" wrapText="1" readingOrder="0"/>
    </dxf>
    <dxf>
      <font>
        <sz val="14"/>
      </font>
      <alignment horizontal="center" wrapText="1" readingOrder="0"/>
    </dxf>
    <dxf>
      <font>
        <sz val="14"/>
      </font>
      <alignment horizontal="center" wrapText="1" readingOrder="0"/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alignment wrapText="1" readingOrder="0"/>
    </dxf>
    <dxf>
      <font>
        <sz val="14"/>
      </font>
      <alignment horizontal="center" readingOrder="0"/>
    </dxf>
    <dxf>
      <alignment horizontal="center" readingOrder="0"/>
    </dxf>
    <dxf>
      <font>
        <sz val="14"/>
      </font>
    </dxf>
    <dxf>
      <font>
        <sz val="14"/>
      </font>
      <alignment horizontal="right" wrapText="1" readingOrder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font>
        <sz val="14"/>
      </font>
      <alignment horizontal="center" readingOrder="0"/>
    </dxf>
    <dxf>
      <font>
        <b/>
        <sz val="14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6" formatCode="m/d/yyyy"/>
    </dxf>
    <dxf>
      <numFmt numFmtId="166" formatCode="m/d/yyyy"/>
    </dxf>
    <dxf>
      <numFmt numFmtId="164" formatCode="#,##0.00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wrapText="1" readingOrder="0"/>
    </dxf>
    <dxf>
      <alignment wrapText="0" readingOrder="0"/>
    </dxf>
    <dxf>
      <alignment horizontal="center" readingOrder="0"/>
    </dxf>
    <dxf>
      <alignment horizontal="general" readingOrder="0"/>
    </dxf>
    <dxf>
      <alignment wrapText="1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64" formatCode="#,##0.00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fill>
        <patternFill patternType="solid">
          <fgColor indexed="64"/>
          <bgColor theme="4" tint="0.79998168889431442"/>
        </patternFill>
      </fill>
      <alignment horizontal="center" wrapText="1" readingOrder="0"/>
    </dxf>
    <dxf>
      <alignment horizontal="center" readingOrder="0"/>
    </dxf>
    <dxf>
      <alignment wrapText="1" readingOrder="0"/>
    </dxf>
    <dxf>
      <alignment wrapTex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numFmt numFmtId="164" formatCode="#,##0.000"/>
    </dxf>
    <dxf>
      <numFmt numFmtId="164" formatCode="#,##0.000"/>
    </dxf>
    <dxf>
      <alignment horizontal="center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wrapText="1" readingOrder="0"/>
    </dxf>
    <dxf>
      <fill>
        <patternFill patternType="solid">
          <fgColor indexed="64"/>
          <bgColor theme="4" tint="0.79998168889431442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numFmt numFmtId="164" formatCode="#,##0.0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0" readingOrder="0"/>
    </dxf>
    <dxf>
      <alignment wrapText="1" readingOrder="0"/>
    </dxf>
    <dxf>
      <alignment horizontal="center" readingOrder="0"/>
    </dxf>
    <dxf>
      <alignment wrapText="1" readingOrder="0"/>
    </dxf>
    <dxf>
      <alignment horizontal="center" readingOrder="0"/>
    </dxf>
    <dxf>
      <alignment wrapText="1" readingOrder="0"/>
    </dxf>
    <dxf>
      <alignment wrapText="1" readingOrder="0"/>
    </dxf>
    <dxf>
      <alignment horizontal="center" readingOrder="0"/>
    </dxf>
    <dxf>
      <alignment horizontal="center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5" formatCode="dd/mm/yy\ 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microsoft.com/office/2007/relationships/slicerCache" Target="slicerCaches/slicerCache5.xml"/><Relationship Id="rId26" Type="http://schemas.microsoft.com/office/2007/relationships/slicerCache" Target="slicerCaches/slicerCache13.xml"/><Relationship Id="rId39" Type="http://schemas.openxmlformats.org/officeDocument/2006/relationships/styles" Target="styles.xml"/><Relationship Id="rId21" Type="http://schemas.microsoft.com/office/2007/relationships/slicerCache" Target="slicerCaches/slicerCache8.xml"/><Relationship Id="rId34" Type="http://schemas.microsoft.com/office/2007/relationships/slicerCache" Target="slicerCaches/slicerCache21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9" Type="http://schemas.microsoft.com/office/2007/relationships/slicerCache" Target="slicerCaches/slicerCache16.xml"/><Relationship Id="rId11" Type="http://schemas.openxmlformats.org/officeDocument/2006/relationships/pivotCacheDefinition" Target="pivotCache/pivotCacheDefinition2.xml"/><Relationship Id="rId24" Type="http://schemas.microsoft.com/office/2007/relationships/slicerCache" Target="slicerCaches/slicerCache11.xml"/><Relationship Id="rId32" Type="http://schemas.microsoft.com/office/2007/relationships/slicerCache" Target="slicerCaches/slicerCache19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microsoft.com/office/2007/relationships/slicerCache" Target="slicerCaches/slicerCache6.xml"/><Relationship Id="rId14" Type="http://schemas.microsoft.com/office/2007/relationships/slicerCache" Target="slicerCaches/slicerCache1.xml"/><Relationship Id="rId22" Type="http://schemas.microsoft.com/office/2007/relationships/slicerCache" Target="slicerCaches/slicerCache9.xml"/><Relationship Id="rId27" Type="http://schemas.microsoft.com/office/2007/relationships/slicerCache" Target="slicerCaches/slicerCache14.xml"/><Relationship Id="rId30" Type="http://schemas.microsoft.com/office/2007/relationships/slicerCache" Target="slicerCaches/slicerCache17.xml"/><Relationship Id="rId35" Type="http://schemas.microsoft.com/office/2007/relationships/slicerCache" Target="slicerCaches/slicerCache22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microsoft.com/office/2007/relationships/slicerCache" Target="slicerCaches/slicerCache4.xml"/><Relationship Id="rId25" Type="http://schemas.microsoft.com/office/2007/relationships/slicerCache" Target="slicerCaches/slicerCache12.xml"/><Relationship Id="rId33" Type="http://schemas.microsoft.com/office/2007/relationships/slicerCache" Target="slicerCaches/slicerCache20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microsoft.com/office/2007/relationships/slicerCache" Target="slicerCaches/slicerCache7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07/relationships/slicerCache" Target="slicerCaches/slicerCache2.xml"/><Relationship Id="rId23" Type="http://schemas.microsoft.com/office/2007/relationships/slicerCache" Target="slicerCaches/slicerCache10.xml"/><Relationship Id="rId28" Type="http://schemas.microsoft.com/office/2007/relationships/slicerCache" Target="slicerCaches/slicerCache15.xml"/><Relationship Id="rId36" Type="http://schemas.microsoft.com/office/2007/relationships/slicerCache" Target="slicerCaches/slicerCache23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pivotCacheDefinition" Target="pivotCache/pivotCacheDefinition1.xml"/><Relationship Id="rId31" Type="http://schemas.microsoft.com/office/2007/relationships/slicerCache" Target="slicerCaches/slicerCache18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3.png@01DC9505.6CAB411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36195</xdr:colOff>
      <xdr:row>0</xdr:row>
      <xdr:rowOff>0</xdr:rowOff>
    </xdr:from>
    <xdr:to>
      <xdr:col>11</xdr:col>
      <xdr:colOff>1097280</xdr:colOff>
      <xdr:row>5</xdr:row>
      <xdr:rowOff>312420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Статус Рейсового  задания 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татус Рейсового  задания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70995" y="0"/>
              <a:ext cx="5823585" cy="1226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1013460</xdr:colOff>
      <xdr:row>0</xdr:row>
      <xdr:rowOff>53341</xdr:rowOff>
    </xdr:from>
    <xdr:to>
      <xdr:col>4</xdr:col>
      <xdr:colOff>464820</xdr:colOff>
      <xdr:row>5</xdr:row>
      <xdr:rowOff>38101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Год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44440" y="53341"/>
              <a:ext cx="2209800" cy="8991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0</xdr:row>
      <xdr:rowOff>53340</xdr:rowOff>
    </xdr:from>
    <xdr:to>
      <xdr:col>1</xdr:col>
      <xdr:colOff>1859280</xdr:colOff>
      <xdr:row>5</xdr:row>
      <xdr:rowOff>38099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Месяц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4040" y="53340"/>
              <a:ext cx="1859280" cy="8991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68580</xdr:rowOff>
    </xdr:from>
    <xdr:to>
      <xdr:col>1</xdr:col>
      <xdr:colOff>0</xdr:colOff>
      <xdr:row>6</xdr:row>
      <xdr:rowOff>548640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Порт  погрузки 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рт  погрузки 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8580"/>
              <a:ext cx="1828800" cy="182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26</xdr:row>
      <xdr:rowOff>171450</xdr:rowOff>
    </xdr:from>
    <xdr:to>
      <xdr:col>6</xdr:col>
      <xdr:colOff>809625</xdr:colOff>
      <xdr:row>38</xdr:row>
      <xdr:rowOff>161925</xdr:rowOff>
    </xdr:to>
    <xdr:pic>
      <xdr:nvPicPr>
        <xdr:cNvPr id="2" name="Рисунок 2" descr="cid:image003.png@01DC9505.6CAB411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7820025"/>
          <a:ext cx="8162925" cy="2628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1109768</xdr:colOff>
      <xdr:row>0</xdr:row>
      <xdr:rowOff>28576</xdr:rowOff>
    </xdr:from>
    <xdr:to>
      <xdr:col>3</xdr:col>
      <xdr:colOff>980055</xdr:colOff>
      <xdr:row>4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Морское Судно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орское Судн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14875" y="28576"/>
              <a:ext cx="1828800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827655</xdr:colOff>
      <xdr:row>0</xdr:row>
      <xdr:rowOff>9525</xdr:rowOff>
    </xdr:from>
    <xdr:to>
      <xdr:col>5</xdr:col>
      <xdr:colOff>917614</xdr:colOff>
      <xdr:row>5</xdr:row>
      <xdr:rowOff>428624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Дата  составления  B\L Морского Судн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 составления  B\L Морского Судн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29575" y="9525"/>
              <a:ext cx="1828800" cy="1371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область срезов таблицы. Среды таблиц поддерживаются только в Excel и более поздних версиях.
Если фигура была изменена в более ранней версии Excel или книга была сохранена в Excel 2007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7</xdr:row>
      <xdr:rowOff>521970</xdr:rowOff>
    </xdr:from>
    <xdr:to>
      <xdr:col>0</xdr:col>
      <xdr:colOff>1657350</xdr:colOff>
      <xdr:row>19</xdr:row>
      <xdr:rowOff>3810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Морское Судно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орское Судно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1855470"/>
              <a:ext cx="1647825" cy="2148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38100</xdr:rowOff>
    </xdr:from>
    <xdr:to>
      <xdr:col>1</xdr:col>
      <xdr:colOff>1905</xdr:colOff>
      <xdr:row>7</xdr:row>
      <xdr:rowOff>476250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Дата B\L Моряка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B\L Моряка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"/>
              <a:ext cx="1668780" cy="1771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19049</xdr:colOff>
      <xdr:row>0</xdr:row>
      <xdr:rowOff>36195</xdr:rowOff>
    </xdr:from>
    <xdr:to>
      <xdr:col>13</xdr:col>
      <xdr:colOff>569594</xdr:colOff>
      <xdr:row>11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Речное судно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ечное судно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00909" y="36195"/>
              <a:ext cx="2585085" cy="237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15240</xdr:colOff>
      <xdr:row>0</xdr:row>
      <xdr:rowOff>45721</xdr:rowOff>
    </xdr:from>
    <xdr:to>
      <xdr:col>17</xdr:col>
      <xdr:colOff>53340</xdr:colOff>
      <xdr:row>11</xdr:row>
      <xdr:rowOff>45721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Вес по  B\L речник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с по  B\L речник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41240" y="45721"/>
              <a:ext cx="1866900" cy="2377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36195</xdr:colOff>
      <xdr:row>11</xdr:row>
      <xdr:rowOff>76200</xdr:rowOff>
    </xdr:from>
    <xdr:to>
      <xdr:col>12</xdr:col>
      <xdr:colOff>350520</xdr:colOff>
      <xdr:row>24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Дата  составления  B\L речник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Дата  составления  B\L речник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18055" y="2453640"/>
              <a:ext cx="1739265" cy="24250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104775</xdr:colOff>
      <xdr:row>0</xdr:row>
      <xdr:rowOff>95251</xdr:rowOff>
    </xdr:from>
    <xdr:to>
      <xdr:col>1</xdr:col>
      <xdr:colOff>1933575</xdr:colOff>
      <xdr:row>5</xdr:row>
      <xdr:rowOff>171451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месяц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1650" y="95251"/>
              <a:ext cx="1828800" cy="1028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40005</xdr:colOff>
      <xdr:row>0</xdr:row>
      <xdr:rowOff>102871</xdr:rowOff>
    </xdr:from>
    <xdr:to>
      <xdr:col>2</xdr:col>
      <xdr:colOff>1868805</xdr:colOff>
      <xdr:row>5</xdr:row>
      <xdr:rowOff>171450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Произв.Недел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оизв.Недел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58565" y="102871"/>
              <a:ext cx="1828800" cy="9829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20955</xdr:colOff>
      <xdr:row>1</xdr:row>
      <xdr:rowOff>13336</xdr:rowOff>
    </xdr:from>
    <xdr:to>
      <xdr:col>5</xdr:col>
      <xdr:colOff>144780</xdr:colOff>
      <xdr:row>5</xdr:row>
      <xdr:rowOff>158116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Накопитель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копитель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11215" y="196216"/>
              <a:ext cx="3827145" cy="87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1851660</xdr:colOff>
      <xdr:row>0</xdr:row>
      <xdr:rowOff>30481</xdr:rowOff>
    </xdr:from>
    <xdr:to>
      <xdr:col>7</xdr:col>
      <xdr:colOff>432435</xdr:colOff>
      <xdr:row>6</xdr:row>
      <xdr:rowOff>15241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Операци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перац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09960" y="30481"/>
              <a:ext cx="1828800" cy="1082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30900</xdr:colOff>
      <xdr:row>0</xdr:row>
      <xdr:rowOff>26193</xdr:rowOff>
    </xdr:from>
    <xdr:to>
      <xdr:col>0</xdr:col>
      <xdr:colOff>2113957</xdr:colOff>
      <xdr:row>3</xdr:row>
      <xdr:rowOff>162935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Год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00" y="26193"/>
              <a:ext cx="2021511" cy="708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262162</xdr:colOff>
      <xdr:row>0</xdr:row>
      <xdr:rowOff>32658</xdr:rowOff>
    </xdr:from>
    <xdr:to>
      <xdr:col>2</xdr:col>
      <xdr:colOff>1388695</xdr:colOff>
      <xdr:row>4</xdr:row>
      <xdr:rowOff>181520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Месяц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1462" y="32658"/>
              <a:ext cx="2512787" cy="9184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418646</xdr:colOff>
      <xdr:row>0</xdr:row>
      <xdr:rowOff>14516</xdr:rowOff>
    </xdr:from>
    <xdr:to>
      <xdr:col>5</xdr:col>
      <xdr:colOff>589279</xdr:colOff>
      <xdr:row>6</xdr:row>
      <xdr:rowOff>1724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Неделя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едел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085896" y="14516"/>
              <a:ext cx="2546803" cy="11225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196362</xdr:colOff>
      <xdr:row>0</xdr:row>
      <xdr:rowOff>35901</xdr:rowOff>
    </xdr:from>
    <xdr:to>
      <xdr:col>8</xdr:col>
      <xdr:colOff>2931</xdr:colOff>
      <xdr:row>12</xdr:row>
      <xdr:rowOff>83526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Порт  погрузки  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рт  погрузки 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52689" y="3590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30900</xdr:colOff>
      <xdr:row>0</xdr:row>
      <xdr:rowOff>26193</xdr:rowOff>
    </xdr:from>
    <xdr:to>
      <xdr:col>0</xdr:col>
      <xdr:colOff>2113957</xdr:colOff>
      <xdr:row>3</xdr:row>
      <xdr:rowOff>162935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Год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од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00" y="26193"/>
              <a:ext cx="2083057" cy="7082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262162</xdr:colOff>
      <xdr:row>0</xdr:row>
      <xdr:rowOff>32658</xdr:rowOff>
    </xdr:from>
    <xdr:to>
      <xdr:col>2</xdr:col>
      <xdr:colOff>311638</xdr:colOff>
      <xdr:row>4</xdr:row>
      <xdr:rowOff>181520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Месяц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Месяц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3604" y="32658"/>
              <a:ext cx="2518649" cy="910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418646</xdr:colOff>
      <xdr:row>0</xdr:row>
      <xdr:rowOff>14516</xdr:rowOff>
    </xdr:from>
    <xdr:to>
      <xdr:col>3</xdr:col>
      <xdr:colOff>2963202</xdr:colOff>
      <xdr:row>6</xdr:row>
      <xdr:rowOff>1724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Неделя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едел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09492" y="14516"/>
              <a:ext cx="2544556" cy="11302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27843</xdr:colOff>
      <xdr:row>0</xdr:row>
      <xdr:rowOff>21247</xdr:rowOff>
    </xdr:from>
    <xdr:to>
      <xdr:col>14</xdr:col>
      <xdr:colOff>32239</xdr:colOff>
      <xdr:row>12</xdr:row>
      <xdr:rowOff>68872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Порт  погрузки  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орт  погрузки 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58035" y="2124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Маршанский Дмитрий Сергеевич" refreshedDate="46118.375863425928" createdVersion="5" refreshedVersion="6" minRefreshableVersion="3" recordCount="0" supportSubquery="1" supportAdvancedDrill="1">
  <cacheSource type="external" connectionId="1"/>
  <cacheFields count="14">
    <cacheField name="[ТаблПогрузкаМоряк].[Морское Судно].[Морское Судно]" caption="Морское Судно" numFmtId="0" hierarchy="43" level="1">
      <sharedItems count="5">
        <s v="m/v April 9 ИМО 8319392"/>
        <s v="m/v Evrika ИМО 9154567"/>
        <s v="m/v Loris ИМО 8902436"/>
        <s v="m/v Nour Star ИМО 9296315"/>
        <s v="m/v Zaltron ИМО 9114139"/>
      </sharedItems>
    </cacheField>
    <cacheField name="[ТаблПогруз].[ТХ].[ТХ]" caption="ТХ" numFmtId="0" hierarchy="13" level="1">
      <sharedItems count="15">
        <s v="Волго-Дон 5079 ИМО 8852784"/>
        <s v="т/х Волго-Дон 217 ИМО 8946377"/>
        <s v="т/х Дон Стар 1 ИМО 8866735"/>
        <s v="т/х Дон Стар 2 ИМО 7911480"/>
        <s v="т/х Дон Стар 5 ИМО 8955469"/>
        <s v="т/х Дон Стар 7 ИМО 8844153"/>
        <s v="т/х В.Успенский   ИМО 8946389"/>
        <s v="т/х Дон 7111420"/>
        <s v="т/х Дон Стар 6 ИМО 8951396"/>
        <s v="т/х Астра Меридиан ИМО8721399"/>
        <s v="т/х Волго-Дон 5011 ИМО8951310"/>
        <s v="т/х Дон Стар 4 ИМО 7911478"/>
        <s v="т/х Святой Спиридон ИМО9087104"/>
        <s v="т/х Дон Стар 8 ИМО 8884957"/>
        <s v="т/х Волго-Дон 5043 ИМО8866321"/>
      </sharedItems>
    </cacheField>
    <cacheField name="[ТаблПогруз].[Порт  погрузки].[Порт  погрузки]" caption="Порт  погрузки" numFmtId="0" hierarchy="14" level="1">
      <sharedItems count="5">
        <s v="ООО Родные Поля"/>
        <s v="ВТП"/>
        <s v="Порт Прибой"/>
        <s v="РЗТ"/>
        <s v="Агропорт Устье  Дона"/>
      </sharedItems>
    </cacheField>
    <cacheField name="[Measures].[Сумма по столбцу Вес  погруженный]" caption="Сумма по столбцу Вес  погруженный" numFmtId="0" hierarchy="57" level="32767"/>
    <cacheField name="[ТаблПогруз].[Дата  составления  B\L].[Дата  составления  B\L]" caption="Дата  составления  B\L" numFmtId="0" hierarchy="22" level="1">
      <sharedItems containsSemiMixedTypes="0" containsNonDate="0" containsDate="1" containsString="0" minDate="2025-11-15T00:00:00" maxDate="2026-03-19T00:00:00" count="38">
        <d v="2025-12-08T00:00:00"/>
        <d v="2025-12-28T00:00:00"/>
        <d v="2025-12-30T00:00:00"/>
        <d v="2026-01-17T00:00:00"/>
        <d v="2025-12-29T00:00:00"/>
        <d v="2026-01-27T00:00:00"/>
        <d v="2025-12-06T00:00:00"/>
        <d v="2025-12-31T00:00:00"/>
        <d v="2025-12-26T00:00:00"/>
        <d v="2026-02-01T00:00:00"/>
        <d v="2026-02-27T00:00:00"/>
        <d v="2026-03-01T00:00:00"/>
        <d v="2026-02-16T00:00:00"/>
        <d v="2026-02-28T00:00:00"/>
        <d v="2026-02-14T00:00:00"/>
        <d v="2026-01-16T00:00:00"/>
        <d v="2026-02-24T00:00:00"/>
        <d v="2026-03-10T00:00:00"/>
        <d v="2026-03-05T00:00:00"/>
        <d v="2026-03-07T00:00:00"/>
        <d v="2026-03-09T00:00:00"/>
        <d v="2026-03-02T00:00:00"/>
        <d v="2026-03-11T00:00:00"/>
        <d v="2026-03-08T00:00:00"/>
        <d v="2025-11-15T00:00:00"/>
        <d v="2025-12-22T00:00:00"/>
        <d v="2025-12-18T00:00:00"/>
        <d v="2026-01-13T00:00:00"/>
        <d v="2025-12-20T00:00:00"/>
        <d v="2026-01-03T00:00:00"/>
        <d v="2025-12-12T00:00:00"/>
        <d v="2025-12-16T00:00:00"/>
        <d v="2025-12-27T00:00:00"/>
        <d v="2026-03-18T00:00:00"/>
        <d v="2026-01-08T00:00:00"/>
        <d v="2026-03-15T00:00:00"/>
        <d v="2026-03-12T00:00:00"/>
        <d v="2026-03-17T00:00:00"/>
      </sharedItems>
    </cacheField>
    <cacheField name="[ТаблПогруз].[Вес по  B\L].[Вес по  B\L]" caption="Вес по  B\L" numFmtId="0" hierarchy="18" level="1">
      <sharedItems containsSemiMixedTypes="0" containsString="0" containsNumber="1" minValue="2788.9839999999999" maxValue="4812.326" count="46">
        <n v="4812.326"/>
        <n v="4756.8789999999999"/>
        <n v="4196.6220000000003"/>
        <n v="3103.1849999999999"/>
        <n v="3900"/>
        <n v="4001.7570000000001"/>
        <n v="2788.9839999999999"/>
        <n v="3300.549"/>
        <n v="3209.933"/>
        <n v="4300.5600000000004"/>
        <n v="4268.1030000000001"/>
        <n v="2800.0630000000001"/>
        <n v="4034.2849999999999"/>
        <n v="4001.598"/>
        <n v="3008.0459999999998"/>
        <n v="3299.5250000000001"/>
        <n v="3080.8"/>
        <n v="3235.8980000000001"/>
        <n v="4751.2169999999996"/>
        <n v="2879.7809999999999"/>
        <n v="4600.24"/>
        <n v="4350.0519999999997"/>
        <n v="2802.13"/>
        <n v="4009.127"/>
        <n v="4015.4270000000001"/>
        <n v="3300.1390000000001"/>
        <n v="3301.9459999999999"/>
        <n v="3235.3490000000002"/>
        <n v="3725.46"/>
        <n v="4780.7449999999999"/>
        <n v="3300.29"/>
        <n v="4012.3980000000001"/>
        <n v="4055.2460000000001"/>
        <n v="3179.6790000000001"/>
        <n v="3249.9639999999999"/>
        <n v="3251.2559999999999"/>
        <n v="3214.2060000000001"/>
        <n v="3269.0430000000001"/>
        <n v="3299.9589999999998"/>
        <n v="4756.9629999999997"/>
        <n v="4159.9269999999997"/>
        <n v="4610.7539999999999"/>
        <n v="2800.1619999999998"/>
        <n v="4019.038"/>
        <n v="4011.3440000000001"/>
        <n v="3700.7159999999999"/>
      </sharedItems>
    </cacheField>
    <cacheField name="[ТаблПогрузкаМоряк].[Отправитель].[Отправитель]" caption="Отправитель" numFmtId="0" hierarchy="45" level="1">
      <sharedItems count="1">
        <s v="ООО «Ресурс Агро Трейдинг»"/>
      </sharedItems>
    </cacheField>
    <cacheField name="[ТаблПогруз].[Отправитель].[Отправитель]" caption="Отправитель" numFmtId="0" hierarchy="24" level="1">
      <sharedItems count="1">
        <s v="ООО «Ресурс Агро Трейдинг»"/>
      </sharedItems>
    </cacheField>
    <cacheField name="[ТаблВыгрузка].[Операция].[Операция]" caption="Операция" numFmtId="0" hierarchy="2" level="1">
      <sharedItems containsSemiMixedTypes="0" containsNonDate="0" containsString="0"/>
    </cacheField>
    <cacheField name="[ТаблПогрузкаМоряк].[месяц].[месяц]" caption="месяц" numFmtId="0" hierarchy="50" level="1">
      <sharedItems containsSemiMixedTypes="0" containsNonDate="0" containsString="0"/>
    </cacheField>
    <cacheField name="[ТаблПогрузкаМоряк].[Дата  составления  B\L Морского Судна].[Дата  составления  B\L Морского Судна]" caption="Дата  составления  B\L Морского Судна" numFmtId="0" hierarchy="44" level="1">
      <sharedItems containsSemiMixedTypes="0" containsNonDate="0" containsString="0"/>
    </cacheField>
    <cacheField name="[ТаблПогрузкаМоряк].[Произв.Неделя].[Произв.Неделя]" caption="Произв.Неделя" numFmtId="0" hierarchy="49" level="1">
      <sharedItems containsSemiMixedTypes="0" containsNonDate="0" containsString="0"/>
    </cacheField>
    <cacheField name="[ТаблПогрузкаМоряк].[Накопитель].[Накопитель]" caption="Накопитель" numFmtId="0" hierarchy="40" level="1">
      <sharedItems containsSemiMixedTypes="0" containsNonDate="0" containsString="0"/>
    </cacheField>
    <cacheField name="[ТаблПогрузкаМоряк].[Операция].[Операция]" caption="Операция" numFmtId="0" hierarchy="38" level="1">
      <sharedItems containsSemiMixedTypes="0" containsNonDate="0" containsString="0"/>
    </cacheField>
  </cacheFields>
  <cacheHierarchies count="60">
    <cacheHierarchy uniqueName="[ТаблВыгрузка].[ТХ]" caption="ТХ" attribute="1" defaultMemberUniqueName="[ТаблВыгрузка].[ТХ].[All]" allUniqueName="[ТаблВыгрузка].[ТХ].[All]" dimensionUniqueName="[ТаблВыгрузка]" displayFolder="" count="0" memberValueDatatype="130" unbalanced="0"/>
    <cacheHierarchy uniqueName="[ТаблВыгрузка].[Статус]" caption="Статус" attribute="1" defaultMemberUniqueName="[ТаблВыгрузка].[Статус].[All]" allUniqueName="[ТаблВыгрузка].[Статус].[All]" dimensionUniqueName="[ТаблВыгрузка]" displayFolder="" count="0" memberValueDatatype="130" unbalanced="0"/>
    <cacheHierarchy uniqueName="[ТаблВыгрузка].[Операция]" caption="Операция" attribute="1" defaultMemberUniqueName="[ТаблВыгрузка].[Операция].[All]" allUniqueName="[ТаблВыгрузка].[Операция].[All]" dimensionUniqueName="[ТаблВыгрузка]" displayFolder="" count="2" memberValueDatatype="130" unbalanced="0">
      <fieldsUsage count="2">
        <fieldUsage x="-1"/>
        <fieldUsage x="8"/>
      </fieldsUsage>
    </cacheHierarchy>
    <cacheHierarchy uniqueName="[ТаблВыгрузка].[Вес по  B\L]" caption="Вес по  B\L" attribute="1" defaultMemberUniqueName="[ТаблВыгрузка].[Вес по  B\L].[All]" allUniqueName="[ТаблВыгрузка].[Вес по  B\L].[All]" dimensionUniqueName="[ТаблВыгрузка]" displayFolder="" count="0" memberValueDatatype="5" unbalanced="0"/>
    <cacheHierarchy uniqueName="[ТаблВыгрузка].[Вес  выгруженный в накопитель]" caption="Вес  выгруженный в накопитель" attribute="1" defaultMemberUniqueName="[ТаблВыгрузка].[Вес  выгруженный в накопитель].[All]" allUniqueName="[ТаблВыгрузка].[Вес  выгруженный в накопитель].[All]" dimensionUniqueName="[ТаблВыгрузка]" displayFolder="" count="0" memberValueDatatype="5" unbalanced="0"/>
    <cacheHierarchy uniqueName="[ТаблВыгрузка].[NOR Разгрузка]" caption="NOR Разгрузка" attribute="1" time="1" defaultMemberUniqueName="[ТаблВыгрузка].[NOR Разгрузка].[All]" allUniqueName="[ТаблВыгрузка].[NOR Разгрузка].[All]" dimensionUniqueName="[ТаблВыгрузка]" displayFolder="" count="0" memberValueDatatype="7" unbalanced="0"/>
    <cacheHierarchy uniqueName="[ТаблВыгрузка].[Дата  начала  грузовых операций]" caption="Дата  начала  грузовых операций" attribute="1" time="1" defaultMemberUniqueName="[ТаблВыгрузка].[Дата  начала  грузовых операций].[All]" allUniqueName="[ТаблВыгрузка].[Дата  начала  грузовых операций].[All]" dimensionUniqueName="[ТаблВыгрузка]" displayFolder="" count="0" memberValueDatatype="7" unbalanced="0"/>
    <cacheHierarchy uniqueName="[ТаблВыгрузка].[Дата  окончания грузовых операций]" caption="Дата  окончания грузовых операций" attribute="1" time="1" defaultMemberUniqueName="[ТаблВыгрузка].[Дата  окончания грузовых операций].[All]" allUniqueName="[ТаблВыгрузка].[Дата  окончания грузовых операций].[All]" dimensionUniqueName="[ТаблВыгрузка]" displayFolder="" count="0" memberValueDatatype="7" unbalanced="0"/>
    <cacheHierarchy uniqueName="[ТаблВыгрузка].[Дата  составления  B\L речник]" caption="Дата  составления  B\L речник" attribute="1" time="1" defaultMemberUniqueName="[ТаблВыгрузка].[Дата  составления  B\L речник].[All]" allUniqueName="[ТаблВыгрузка].[Дата  составления  B\L речник].[All]" dimensionUniqueName="[ТаблВыгрузка]" displayFolder="" count="0" memberValueDatatype="7" unbalanced="0"/>
    <cacheHierarchy uniqueName="[ТаблВыгрузка].[Накопитель]" caption="Накопитель" attribute="1" defaultMemberUniqueName="[ТаблВыгрузка].[Накопитель].[All]" allUniqueName="[ТаблВыгрузка].[Накопитель].[All]" dimensionUniqueName="[ТаблВыгрузка]" displayFolder="" count="0" memberValueDatatype="130" unbalanced="0"/>
    <cacheHierarchy uniqueName="[ТаблВыгрузка].[Отправитель]" caption="Отправитель" attribute="1" defaultMemberUniqueName="[ТаблВыгрузка].[Отправитель].[All]" allUniqueName="[ТаблВыгрузка].[Отправитель].[All]" dimensionUniqueName="[ТаблВыгрузка]" displayFolder="" count="0" memberValueDatatype="130" unbalanced="0"/>
    <cacheHierarchy uniqueName="[ТаблВыгрузка].[Id key]" caption="Id key" attribute="1" defaultMemberUniqueName="[ТаблВыгрузка].[Id key].[All]" allUniqueName="[ТаблВыгрузка].[Id key].[All]" dimensionUniqueName="[ТаблВыгрузка]" displayFolder="" count="0" memberValueDatatype="130" unbalanced="0"/>
    <cacheHierarchy uniqueName="[ТаблВыгрузка].[Дата направления уведомления]" caption="Дата направления уведомления" attribute="1" time="1" defaultMemberUniqueName="[ТаблВыгрузка].[Дата направления уведомления].[All]" allUniqueName="[ТаблВыгрузка].[Дата направления уведомления].[All]" dimensionUniqueName="[ТаблВыгрузка]" displayFolder="" count="0" memberValueDatatype="7" unbalanced="0"/>
    <cacheHierarchy uniqueName="[ТаблПогруз].[ТХ]" caption="ТХ" attribute="1" defaultMemberUniqueName="[ТаблПогруз].[ТХ].[All]" allUniqueName="[ТаблПогруз].[ТХ].[All]" dimensionUniqueName="[ТаблПогруз]" displayFolder="" count="2" memberValueDatatype="130" unbalanced="0">
      <fieldsUsage count="2">
        <fieldUsage x="-1"/>
        <fieldUsage x="1"/>
      </fieldsUsage>
    </cacheHierarchy>
    <cacheHierarchy uniqueName="[ТаблПогруз].[Порт  погрузки]" caption="Порт  погрузки" attribute="1" defaultMemberUniqueName="[ТаблПогруз].[Порт  погрузки].[All]" allUniqueName="[ТаблПогруз].[Порт  погрузки].[All]" dimensionUniqueName="[ТаблПогруз]" displayFolder="" count="2" memberValueDatatype="130" unbalanced="0">
      <fieldsUsage count="2">
        <fieldUsage x="-1"/>
        <fieldUsage x="2"/>
      </fieldsUsage>
    </cacheHierarchy>
    <cacheHierarchy uniqueName="[ТаблПогруз].[Операция]" caption="Операция" attribute="1" defaultMemberUniqueName="[ТаблПогруз].[Операция].[All]" allUniqueName="[ТаблПогруз].[Операция].[All]" dimensionUniqueName="[ТаблПогруз]" displayFolder="" count="0" memberValueDatatype="130" unbalanced="0"/>
    <cacheHierarchy uniqueName="[ТаблПогруз].[Статус Рейсового  задания]" caption="Статус Рейсового  задания" attribute="1" defaultMemberUniqueName="[ТаблПогруз].[Статус Рейсового  задания].[All]" allUniqueName="[ТаблПогруз].[Статус Рейсового  задания].[All]" dimensionUniqueName="[ТаблПогруз]" displayFolder="" count="0" memberValueDatatype="130" unbalanced="0"/>
    <cacheHierarchy uniqueName="[ТаблПогруз].[Вес  к  погрузке  тн]" caption="Вес  к  погрузке  тн" attribute="1" defaultMemberUniqueName="[ТаблПогруз].[Вес  к  погрузке  тн].[All]" allUniqueName="[ТаблПогруз].[Вес  к  погрузке  тн].[All]" dimensionUniqueName="[ТаблПогруз]" displayFolder="" count="0" memberValueDatatype="5" unbalanced="0"/>
    <cacheHierarchy uniqueName="[ТаблПогруз].[Вес по  B\L]" caption="Вес по  B\L" attribute="1" defaultMemberUniqueName="[ТаблПогруз].[Вес по  B\L].[All]" allUniqueName="[ТаблПогруз].[Вес по  B\L].[All]" dimensionUniqueName="[ТаблПогруз]" displayFolder="" count="2" memberValueDatatype="5" unbalanced="0">
      <fieldsUsage count="2">
        <fieldUsage x="-1"/>
        <fieldUsage x="5"/>
      </fieldsUsage>
    </cacheHierarchy>
    <cacheHierarchy uniqueName="[ТаблПогруз].[NOR погрузка]" caption="NOR погрузка" attribute="1" time="1" defaultMemberUniqueName="[ТаблПогруз].[NOR погрузка].[All]" allUniqueName="[ТаблПогруз].[NOR погрузка].[All]" dimensionUniqueName="[ТаблПогруз]" displayFolder="" count="0" memberValueDatatype="7" unbalanced="0"/>
    <cacheHierarchy uniqueName="[ТаблПогруз].[Дата  начала  грузовых операций]" caption="Дата  начала  грузовых операций" attribute="1" time="1" defaultMemberUniqueName="[ТаблПогруз].[Дата  начала  грузовых операций].[All]" allUniqueName="[ТаблПогруз].[Дата  начала  грузовых операций].[All]" dimensionUniqueName="[ТаблПогруз]" displayFolder="" count="0" memberValueDatatype="7" unbalanced="0"/>
    <cacheHierarchy uniqueName="[ТаблПогруз].[Дата  окончания грузовых операций]" caption="Дата  окончания грузовых операций" attribute="1" defaultMemberUniqueName="[ТаблПогруз].[Дата  окончания грузовых операций].[All]" allUniqueName="[ТаблПогруз].[Дата  окончания грузовых операций].[All]" dimensionUniqueName="[ТаблПогруз]" displayFolder="" count="0" memberValueDatatype="130" unbalanced="0"/>
    <cacheHierarchy uniqueName="[ТаблПогруз].[Дата  составления  B\L]" caption="Дата  составления  B\L" attribute="1" time="1" defaultMemberUniqueName="[ТаблПогруз].[Дата  составления  B\L].[All]" allUniqueName="[ТаблПогруз].[Дата  составления  B\L].[All]" dimensionUniqueName="[ТаблПогруз]" displayFolder="" count="2" memberValueDatatype="7" unbalanced="0">
      <fieldsUsage count="2">
        <fieldUsage x="-1"/>
        <fieldUsage x="4"/>
      </fieldsUsage>
    </cacheHierarchy>
    <cacheHierarchy uniqueName="[ТаблПогруз].[План  отгрузки]" caption="План  отгрузки" attribute="1" defaultMemberUniqueName="[ТаблПогруз].[План  отгрузки].[All]" allUniqueName="[ТаблПогруз].[План  отгрузки].[All]" dimensionUniqueName="[ТаблПогруз]" displayFolder="" count="0" memberValueDatatype="130" unbalanced="0"/>
    <cacheHierarchy uniqueName="[ТаблПогруз].[Отправитель]" caption="Отправитель" attribute="1" defaultMemberUniqueName="[ТаблПогруз].[Отправитель].[All]" allUniqueName="[ТаблПогруз].[Отправитель].[All]" dimensionUniqueName="[ТаблПогруз]" displayFolder="" count="2" memberValueDatatype="130" unbalanced="0">
      <fieldsUsage count="2">
        <fieldUsage x="-1"/>
        <fieldUsage x="7"/>
      </fieldsUsage>
    </cacheHierarchy>
    <cacheHierarchy uniqueName="[ТаблПогруз].[Сюрвеер]" caption="Сюрвеер" attribute="1" defaultMemberUniqueName="[ТаблПогруз].[Сюрвеер].[All]" allUniqueName="[ТаблПогруз].[Сюрвеер].[All]" dimensionUniqueName="[ТаблПогруз]" displayFolder="" count="0" memberValueDatatype="130" unbalanced="0"/>
    <cacheHierarchy uniqueName="[ТаблПогруз].[Вес  на  борту   до  начала  грузовых операций]" caption="Вес  на  борту   до  начала  грузовых операций" attribute="1" defaultMemberUniqueName="[ТаблПогруз].[Вес  на  борту   до  начала  грузовых операций].[All]" allUniqueName="[ТаблПогруз].[Вес  на  борту   до  начала  грузовых операций].[All]" dimensionUniqueName="[ТаблПогруз]" displayFolder="" count="0" memberValueDatatype="5" unbalanced="0"/>
    <cacheHierarchy uniqueName="[ТаблПогруз].[Вес  на  борту   после  окончания    грузовых операций]" caption="Вес  на  борту   после  окончания    грузовых операций" attribute="1" defaultMemberUniqueName="[ТаблПогруз].[Вес  на  борту   после  окончания    грузовых операций].[All]" allUniqueName="[ТаблПогруз].[Вес  на  борту   после  окончания    грузовых операций].[All]" dimensionUniqueName="[ТаблПогруз]" displayFolder="" count="0" memberValueDatatype="5" unbalanced="0"/>
    <cacheHierarchy uniqueName="[ТаблПогруз].[Id]" caption="Id" attribute="1" defaultMemberUniqueName="[ТаблПогруз].[Id].[All]" allUniqueName="[ТаблПогруз].[Id].[All]" dimensionUniqueName="[ТаблПогруз]" displayFolder="" count="0" memberValueDatatype="130" unbalanced="0"/>
    <cacheHierarchy uniqueName="[ТаблПогруз].[Год]" caption="Год" attribute="1" defaultMemberUniqueName="[ТаблПогруз].[Год].[All]" allUniqueName="[ТаблПогруз].[Год].[All]" dimensionUniqueName="[ТаблПогруз]" displayFolder="" count="0" memberValueDatatype="130" unbalanced="0"/>
    <cacheHierarchy uniqueName="[ТаблПогруз].[Месяц]" caption="Месяц" attribute="1" defaultMemberUniqueName="[ТаблПогруз].[Месяц].[All]" allUniqueName="[ТаблПогруз].[Месяц].[All]" dimensionUniqueName="[ТаблПогруз]" displayFolder="" count="0" memberValueDatatype="130" unbalanced="0"/>
    <cacheHierarchy uniqueName="[ТаблПогруз].[Неделя]" caption="Неделя" attribute="1" defaultMemberUniqueName="[ТаблПогруз].[Неделя].[All]" allUniqueName="[ТаблПогруз].[Неделя].[All]" dimensionUniqueName="[ТаблПогруз]" displayFolder="" count="0" memberValueDatatype="20" unbalanced="0"/>
    <cacheHierarchy uniqueName="[ТаблПогруз].[Дата  составления  B\L (Год)]" caption="Дата  составления  B\L (Год)" attribute="1" defaultMemberUniqueName="[ТаблПогруз].[Дата  составления  B\L (Год)].[All]" allUniqueName="[ТаблПогруз].[Дата  составления  B\L (Год)].[All]" dimensionUniqueName="[ТаблПогруз]" displayFolder="" count="0" memberValueDatatype="130" unbalanced="0"/>
    <cacheHierarchy uniqueName="[ТаблПогруз].[Дата  составления  B\L (Квартал)]" caption="Дата  составления  B\L (Квартал)" attribute="1" defaultMemberUniqueName="[ТаблПогруз].[Дата  составления  B\L (Квартал)].[All]" allUniqueName="[ТаблПогруз].[Дата  составления  B\L (Квартал)].[All]" dimensionUniqueName="[ТаблПогруз]" displayFolder="" count="0" memberValueDatatype="130" unbalanced="0"/>
    <cacheHierarchy uniqueName="[ТаблПогруз].[Дата  составления  B\L (Месяц)]" caption="Дата  составления  B\L (Месяц)" attribute="1" defaultMemberUniqueName="[ТаблПогруз].[Дата  составления  B\L (Месяц)].[All]" allUniqueName="[ТаблПогруз].[Дата  составления  B\L (Месяц)].[All]" dimensionUniqueName="[ТаблПогруз]" displayFolder="" count="0" memberValueDatatype="130" unbalanced="0"/>
    <cacheHierarchy uniqueName="[ТаблПогруз].[Столбец1]" caption="Столбец1" attribute="1" defaultMemberUniqueName="[ТаблПогруз].[Столбец1].[All]" allUniqueName="[ТаблПогруз].[Столбец1].[All]" dimensionUniqueName="[ТаблПогруз]" displayFolder="" count="0" memberValueDatatype="20" unbalanced="0"/>
    <cacheHierarchy uniqueName="[ТаблПогрузкаМоряк].[ТХ]" caption="ТХ" attribute="1" defaultMemberUniqueName="[ТаблПогрузкаМоряк].[ТХ].[All]" allUniqueName="[ТаблПогрузкаМоряк].[ТХ].[All]" dimensionUniqueName="[ТаблПогрузкаМоряк]" displayFolder="" count="0" memberValueDatatype="130" unbalanced="0"/>
    <cacheHierarchy uniqueName="[ТаблПогрузкаМоряк].[Статус]" caption="Статус" attribute="1" defaultMemberUniqueName="[ТаблПогрузкаМоряк].[Статус].[All]" allUniqueName="[ТаблПогрузкаМоряк].[Статус].[All]" dimensionUniqueName="[ТаблПогрузкаМоряк]" displayFolder="" count="0" memberValueDatatype="130" unbalanced="0"/>
    <cacheHierarchy uniqueName="[ТаблПогрузкаМоряк].[Операция]" caption="Операция" attribute="1" defaultMemberUniqueName="[ТаблПогрузкаМоряк].[Операция].[All]" allUniqueName="[ТаблПогрузкаМоряк].[Операция].[All]" dimensionUniqueName="[ТаблПогрузкаМоряк]" displayFolder="" count="2" memberValueDatatype="130" unbalanced="0">
      <fieldsUsage count="2">
        <fieldUsage x="-1"/>
        <fieldUsage x="13"/>
      </fieldsUsage>
    </cacheHierarchy>
    <cacheHierarchy uniqueName="[ТаблПогрузкаМоряк].[Вес  погруженный]" caption="Вес  погруженный" attribute="1" defaultMemberUniqueName="[ТаблПогрузкаМоряк].[Вес  погруженный].[All]" allUniqueName="[ТаблПогрузкаМоряк].[Вес  погруженный].[All]" dimensionUniqueName="[ТаблПогрузкаМоряк]" displayFolder="" count="0" memberValueDatatype="5" unbalanced="0"/>
    <cacheHierarchy uniqueName="[ТаблПогрузкаМоряк].[Накопитель]" caption="Накопитель" attribute="1" defaultMemberUniqueName="[ТаблПогрузкаМоряк].[Накопитель].[All]" allUniqueName="[ТаблПогрузкаМоряк].[Накопитель].[All]" dimensionUniqueName="[ТаблПогрузкаМоряк]" displayFolder="" count="2" memberValueDatatype="130" unbalanced="0">
      <fieldsUsage count="2">
        <fieldUsage x="-1"/>
        <fieldUsage x="12"/>
      </fieldsUsage>
    </cacheHierarchy>
    <cacheHierarchy uniqueName="[ТаблПогрузкаМоряк].[Дата  начала  грузовых операций]" caption="Дата  начала  грузовых операций" attribute="1" time="1" defaultMemberUniqueName="[ТаблПогрузкаМоряк].[Дата  начала  грузовых операций].[All]" allUniqueName="[ТаблПогрузкаМоряк].[Дата  начала  грузовых операций].[All]" dimensionUniqueName="[ТаблПогрузкаМоряк]" displayFolder="" count="0" memberValueDatatype="7" unbalanced="0"/>
    <cacheHierarchy uniqueName="[ТаблПогрузкаМоряк].[Дата  окончания грузовых операций]" caption="Дата  окончания грузовых операций" attribute="1" time="1" defaultMemberUniqueName="[ТаблПогрузкаМоряк].[Дата  окончания грузовых операций].[All]" allUniqueName="[ТаблПогрузкаМоряк].[Дата  окончания грузовых операций].[All]" dimensionUniqueName="[ТаблПогрузкаМоряк]" displayFolder="" count="0" memberValueDatatype="7" unbalanced="0"/>
    <cacheHierarchy uniqueName="[ТаблПогрузкаМоряк].[Морское Судно]" caption="Морское Судно" attribute="1" defaultMemberUniqueName="[ТаблПогрузкаМоряк].[Морское Судно].[All]" allUniqueName="[ТаблПогрузкаМоряк].[Морское Судно].[All]" dimensionUniqueName="[ТаблПогрузкаМоряк]" displayFolder="" count="2" memberValueDatatype="130" unbalanced="0">
      <fieldsUsage count="2">
        <fieldUsage x="-1"/>
        <fieldUsage x="0"/>
      </fieldsUsage>
    </cacheHierarchy>
    <cacheHierarchy uniqueName="[ТаблПогрузкаМоряк].[Дата  составления  B\L Морского Судна]" caption="Дата  составления  B\L Морского Судна" attribute="1" time="1" defaultMemberUniqueName="[ТаблПогрузкаМоряк].[Дата  составления  B\L Морского Судна].[All]" allUniqueName="[ТаблПогрузкаМоряк].[Дата  составления  B\L Морского Судна].[All]" dimensionUniqueName="[ТаблПогрузкаМоряк]" displayFolder="" count="2" memberValueDatatype="7" unbalanced="0">
      <fieldsUsage count="2">
        <fieldUsage x="-1"/>
        <fieldUsage x="10"/>
      </fieldsUsage>
    </cacheHierarchy>
    <cacheHierarchy uniqueName="[ТаблПогрузкаМоряк].[Отправитель]" caption="Отправитель" attribute="1" defaultMemberUniqueName="[ТаблПогрузкаМоряк].[Отправитель].[All]" allUniqueName="[ТаблПогрузкаМоряк].[Отправитель].[All]" dimensionUniqueName="[ТаблПогрузкаМоряк]" displayFolder="" count="2" memberValueDatatype="130" unbalanced="0">
      <fieldsUsage count="2">
        <fieldUsage x="-1"/>
        <fieldUsage x="6"/>
      </fieldsUsage>
    </cacheHierarchy>
    <cacheHierarchy uniqueName="[ТаблПогрузкаМоряк].[Id key]" caption="Id key" attribute="1" defaultMemberUniqueName="[ТаблПогрузкаМоряк].[Id key].[All]" allUniqueName="[ТаблПогрузкаМоряк].[Id key].[All]" dimensionUniqueName="[ТаблПогрузкаМоряк]" displayFolder="" count="0" memberValueDatatype="130" unbalanced="0"/>
    <cacheHierarchy uniqueName="[ТаблПогрузкаМоряк].[Дата направления уведомления]" caption="Дата направления уведомления" attribute="1" time="1" defaultMemberUniqueName="[ТаблПогрузкаМоряк].[Дата направления уведомления].[All]" allUniqueName="[ТаблПогрузкаМоряк].[Дата направления уведомления].[All]" dimensionUniqueName="[ТаблПогрузкаМоряк]" displayFolder="" count="0" memberValueDatatype="7" unbalanced="0"/>
    <cacheHierarchy uniqueName="[ТаблПогрузкаМоряк].[Calculated Column 1]" caption="Calculated Column 1" attribute="1" defaultMemberUniqueName="[ТаблПогрузкаМоряк].[Calculated Column 1].[All]" allUniqueName="[ТаблПогрузкаМоряк].[Calculated Column 1].[All]" dimensionUniqueName="[ТаблПогрузкаМоряк]" displayFolder="" count="0" memberValueDatatype="20" unbalanced="0"/>
    <cacheHierarchy uniqueName="[ТаблПогрузкаМоряк].[Произв.Неделя]" caption="Произв.Неделя" attribute="1" defaultMemberUniqueName="[ТаблПогрузкаМоряк].[Произв.Неделя].[All]" allUniqueName="[ТаблПогрузкаМоряк].[Произв.Неделя].[All]" dimensionUniqueName="[ТаблПогрузкаМоряк]" displayFolder="" count="2" memberValueDatatype="20" unbalanced="0">
      <fieldsUsage count="2">
        <fieldUsage x="-1"/>
        <fieldUsage x="11"/>
      </fieldsUsage>
    </cacheHierarchy>
    <cacheHierarchy uniqueName="[ТаблПогрузкаМоряк].[месяц]" caption="месяц" attribute="1" defaultMemberUniqueName="[ТаблПогрузкаМоряк].[месяц].[All]" allUniqueName="[ТаблПогрузкаМоряк].[месяц].[All]" dimensionUniqueName="[ТаблПогрузкаМоряк]" displayFolder="" count="2" memberValueDatatype="130" unbalanced="0">
      <fieldsUsage count="2">
        <fieldUsage x="-1"/>
        <fieldUsage x="9"/>
      </fieldsUsage>
    </cacheHierarchy>
    <cacheHierarchy uniqueName="[ТаблПогрузкаМоряк].[год]" caption="год" attribute="1" defaultMemberUniqueName="[ТаблПогрузкаМоряк].[год].[All]" allUniqueName="[ТаблПогрузкаМоряк].[год].[All]" dimensionUniqueName="[ТаблПогрузкаМоряк]" displayFolder="" count="0" memberValueDatatype="20" unbalanced="0"/>
    <cacheHierarchy uniqueName="[ТаблПогруз].[Дата  составления  B\L (Индекс месяца)]" caption="Дата  составления  B\L (Индекс месяца)" attribute="1" defaultMemberUniqueName="[ТаблПогруз].[Дата  составления  B\L (Индекс месяца)].[All]" allUniqueName="[ТаблПогруз].[Дата  составления  B\L (Индекс месяца)].[All]" dimensionUniqueName="[ТаблПогруз]" displayFolder="" count="0" memberValueDatatype="20" unbalanced="0" hidden="1"/>
    <cacheHierarchy uniqueName="[Measures].[__XL_Count Таблица1]" caption="__XL_Count Таблица1" measure="1" displayFolder="" measureGroup="ТаблПогруз" count="0" hidden="1"/>
    <cacheHierarchy uniqueName="[Measures].[__XL_Count Таблица16]" caption="__XL_Count Таблица16" measure="1" displayFolder="" measureGroup="ТаблВыгрузка" count="0" hidden="1"/>
    <cacheHierarchy uniqueName="[Measures].[__XL_Count Таблица163]" caption="__XL_Count Таблица163" measure="1" displayFolder="" measureGroup="ТаблПогрузкаМоряк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Вес  погруженный]" caption="Сумма по столбцу Вес  погруженный" measure="1" displayFolder="" measureGroup="ТаблПогрузкаМоряк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Сумма по столбцу Вес по  B\L]" caption="Сумма по столбцу Вес по  B\L" measure="1" displayFolder="" measureGroup="ТаблПогруз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Отправитель]" caption="Число элементов в столбце Отправитель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</cacheHierarchies>
  <kpis count="0"/>
  <dimensions count="4">
    <dimension measure="1" name="Measures" uniqueName="[Measures]" caption="Measures"/>
    <dimension name="ТаблВыгрузка" uniqueName="[ТаблВыгрузка]" caption="ТаблВыгрузка"/>
    <dimension name="ТаблПогруз" uniqueName="[ТаблПогруз]" caption="ТаблПогруз"/>
    <dimension name="ТаблПогрузкаМоряк" uniqueName="[ТаблПогрузкаМоряк]" caption="ТаблПогрузкаМоряк"/>
  </dimensions>
  <measureGroups count="3">
    <measureGroup name="ТаблВыгрузка" caption="ТаблВыгрузка"/>
    <measureGroup name="ТаблПогруз" caption="ТаблПогруз"/>
    <measureGroup name="ТаблПогрузкаМоряк" caption="ТаблПогрузкаМоряк"/>
  </measureGroups>
  <maps count="5">
    <map measureGroup="0" dimension="1"/>
    <map measureGroup="0" dimension="2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Маршанский Дмитрий Сергеевич" refreshedDate="46118.375870254633" createdVersion="6" refreshedVersion="6" minRefreshableVersion="3" recordCount="118">
  <cacheSource type="worksheet">
    <worksheetSource name="Таблица1"/>
  </cacheSource>
  <cacheFields count="20">
    <cacheField name="ТХ " numFmtId="0">
      <sharedItems count="26">
        <s v="т/х Дон Стар 6 ИМО 8951396"/>
        <s v="т/х Дон Стар 4 ИМО 7911478"/>
        <s v="т/х Дон Стар 3 ИМО 7911507"/>
        <s v="т/х Дон Стар 8 ИМО 8884957"/>
        <s v="т/х Герой И.И.Петров//нб Балтис ИМО  2186884"/>
        <s v="Волго-Дон 5079 ИМО 8852784"/>
        <s v="т/х Дон Стар 1 ИМО 8866735"/>
        <s v="т/х Дон Стар 5 ИМО 8955469"/>
        <s v="т/х Дон Стар 7 ИМО 8844153"/>
        <s v=" т/х Ugah Confidence"/>
        <s v="т/х Дон Стар 2 ИМО 7911480"/>
        <s v="т/х Волго-Дон 217 ИМО 8946377"/>
        <s v="т/х В.Успенский   ИМО 8946389"/>
        <s v=" т/х Н.Мешков ИМО 8862507"/>
        <s v=" т/х Волжский 33 ИМО 8955641"/>
        <s v="т/х Дон 7111420"/>
        <s v="т/х Астра Меридиан ИМО8721399"/>
        <s v="т/х Святой Спиридон ИМО9087104"/>
        <s v="т/х Волго-Дон 5011 ИМО8951310"/>
        <s v="т/х Волго-Дон 5043 ИМО8866321"/>
        <s v="т/х Абрамцево ИМО8947955"/>
        <s v="т/х Соммерс ИМО7111420"/>
        <s v="т/х Линда1 ИМО8951334"/>
        <s v="т/х Волго-Дон219 ИМО8959207"/>
        <s v="т/х Волго-Дон5007 ИМО8951310" u="1"/>
        <s v="т/х Астра МеридианИМО8721399" u="1"/>
      </sharedItems>
    </cacheField>
    <cacheField name="Порт  погрузки  " numFmtId="3">
      <sharedItems containsBlank="1" count="20">
        <s v="порт Гранит  "/>
        <s v="РКХП"/>
        <s v="Порт Грейн  "/>
        <s v="Терминал Степь  "/>
        <s v="Порт Прибой"/>
        <s v="Агропорт Устье  Дона "/>
        <s v="РКХП "/>
        <s v="РММП"/>
        <s v="ВТП "/>
        <s v="РЗТ"/>
        <s v="Порт Эльдако "/>
        <s v="РЗТ "/>
        <s v="ООО Родные Поля"/>
        <s v="ООО АМТ"/>
        <s v="СРЗ &quot;Мидель&quot;"/>
        <m/>
        <s v="Порт Прибой " u="1"/>
        <s v="Порт Корвет " u="1"/>
        <s v="АМТ " u="1"/>
        <s v="Незнаю куда" u="1"/>
      </sharedItems>
    </cacheField>
    <cacheField name="Операция" numFmtId="0">
      <sharedItems/>
    </cacheField>
    <cacheField name="Статус Рейсового  задания  " numFmtId="164">
      <sharedItems/>
    </cacheField>
    <cacheField name="Вес  к  погрузке  тн" numFmtId="164">
      <sharedItems containsSemiMixedTypes="0" containsString="0" containsNumber="1" minValue="162.85" maxValue="5500"/>
    </cacheField>
    <cacheField name="Вес по  B\L" numFmtId="164">
      <sharedItems containsString="0" containsBlank="1" containsNumber="1" minValue="0" maxValue="5267" count="146">
        <n v="162.85"/>
        <n v="4011.556"/>
        <n v="3001.3359999999998"/>
        <n v="1457.1780000000001"/>
        <n v="3757.69"/>
        <n v="4779.5"/>
        <n v="596.23900000000003"/>
        <n v="3221.4090000000001"/>
        <n v="3237.9059999999999"/>
        <n v="2404.9340000000002"/>
        <n v="4779.2160000000003"/>
        <n v="3112.4859999999999"/>
        <n v="1049.1389999999999"/>
        <n v="3202.058"/>
        <n v="3000.3789999999999"/>
        <n v="4012.5459999999998"/>
        <n v="1657.6289999999999"/>
        <n v="3300.07"/>
        <n v="4781.2579999999998"/>
        <n v="3256.3449999999998"/>
        <n v="4034.03"/>
        <n v="3197.1990000000001"/>
        <n v="3259.5410000000002"/>
        <n v="4003.66"/>
        <n v="3046.56"/>
        <n v="645.53800000000001"/>
        <n v="3199.0520000000001"/>
        <n v="3241.2080000000001"/>
        <n v="3248.78"/>
        <n v="4780.7449999999999"/>
        <n v="2799.82"/>
        <n v="3300.5419999999999"/>
        <n v="4025.2979999999998"/>
        <n v="3309.6550000000002"/>
        <n v="2322.904"/>
        <n v="928.77200000000005"/>
        <n v="4775.8459999999995"/>
        <n v="1144.855"/>
        <n v="2080.3939999999998"/>
        <n v="3028.7240000000002"/>
        <n v="3300.42"/>
        <n v="4010.0010000000002"/>
        <n v="2901.6239999999998"/>
        <n v="2788.9839999999999"/>
        <n v="4812.326"/>
        <n v="3214.2060000000001"/>
        <n v="5007.8"/>
        <n v="3269.0430000000001"/>
        <n v="3249.9639999999999"/>
        <n v="4012.3980000000001"/>
        <n v="3179.6790000000001"/>
        <n v="3300.29"/>
        <n v="3209.933"/>
        <n v="3299.9589999999998"/>
        <n v="4756.8789999999999"/>
        <n v="3900"/>
        <n v="3300.549"/>
        <n v="3251.2559999999999"/>
        <n v="4196.6220000000003"/>
        <n v="4159.9269999999997"/>
        <n v="3992.37"/>
        <n v="4750.28"/>
        <n v="4055.2460000000001"/>
        <n v="3103.1849999999999"/>
        <n v="3029.04"/>
        <n v="4011.3440000000001"/>
        <n v="3008.0459999999998"/>
        <n v="3080.8"/>
        <n v="5267"/>
        <n v="4300.5600000000004"/>
        <n v="3123.0990000000002"/>
        <n v="4001.7570000000001"/>
        <n v="3169.5"/>
        <m/>
        <n v="3299.5250000000001"/>
        <n v="2982.1010000000001"/>
        <n v="4034.2849999999999"/>
        <n v="3235.8980000000001"/>
        <n v="4268.1030000000001"/>
        <n v="3300.1390000000001"/>
        <n v="2800.0630000000001"/>
        <n v="4001.598"/>
        <n v="4009.127"/>
        <n v="2879.7809999999999"/>
        <n v="3725.46"/>
        <n v="4600.24"/>
        <n v="4350.0519999999997"/>
        <n v="3235.3490000000002"/>
        <n v="4751.2169999999996"/>
        <n v="3301.9459999999999"/>
        <n v="2802.13"/>
        <n v="4019.038"/>
        <n v="4015.4270000000001"/>
        <n v="4610.7539999999999"/>
        <n v="1971.59"/>
        <n v="3700.7159999999999"/>
        <n v="4680.1400000000003"/>
        <n v="2800.1619999999998"/>
        <n v="3207.54"/>
        <n v="4756.9629999999997"/>
        <n v="4053.0749999999998"/>
        <n v="1346.396"/>
        <n v="2675.78"/>
        <n v="2803.48"/>
        <n v="2812.44"/>
        <n v="5019.62"/>
        <n v="4756.08"/>
        <n v="4817.8059999999996"/>
        <n v="3668.1"/>
        <n v="3761.5230000000001"/>
        <n v="819.62099999999998"/>
        <n v="4800"/>
        <n v="2458.91"/>
        <n v="0" u="1"/>
        <n v="2900" u="1"/>
        <n v="800" u="1"/>
        <n v="3080" u="1"/>
        <n v="3170" u="1"/>
        <n v="2375" u="1"/>
        <n v="4019.0479999999998" u="1"/>
        <n v="2200" u="1"/>
        <n v="2967" u="1"/>
        <n v="3057" u="1"/>
        <n v="1490" u="1"/>
        <n v="850" u="1"/>
        <n v="1360" u="1"/>
        <n v="2660" u="1"/>
        <n v="1760" u="1"/>
        <n v="2438" u="1"/>
        <n v="907" u="1"/>
        <n v="2500" u="1"/>
        <n v="1505" u="1"/>
        <n v="1330" u="1"/>
        <n v="2829.05" u="1"/>
        <n v="2870" u="1"/>
        <n v="1058" u="1"/>
        <n v="260" u="1"/>
        <n v="1974" u="1"/>
        <n v="2700" u="1"/>
        <n v="1780" u="1"/>
        <n v="1960" u="1"/>
        <n v="140" u="1"/>
        <n v="308" u="1"/>
        <n v="2800" u="1"/>
        <n v="3510" u="1"/>
        <n v="1120" u="1"/>
      </sharedItems>
    </cacheField>
    <cacheField name="NOR погрузка" numFmtId="165">
      <sharedItems containsNonDate="0" containsDate="1" containsString="0" containsBlank="1" minDate="2025-10-14T07:30:00" maxDate="2025-12-02T10:50:00"/>
    </cacheField>
    <cacheField name="Дата  начала  грузовых операций  " numFmtId="165">
      <sharedItems containsNonDate="0" containsDate="1" containsString="0" containsBlank="1" minDate="2025-10-15T21:20:00" maxDate="2025-12-02T13:25:00"/>
    </cacheField>
    <cacheField name="Дата  окончания грузовых операций  " numFmtId="165">
      <sharedItems containsDate="1" containsBlank="1" containsMixedTypes="1" minDate="2025-10-16T20:00:00" maxDate="2025-12-03T10:35:00"/>
    </cacheField>
    <cacheField name="Дата  составления  B\L" numFmtId="14">
      <sharedItems containsNonDate="0" containsDate="1" containsString="0" containsBlank="1" minDate="1900-01-19T00:00:00" maxDate="2026-04-07T00:00:00" count="92">
        <d v="2025-10-18T00:00:00"/>
        <d v="2025-10-21T00:00:00"/>
        <d v="2025-10-24T00:00:00"/>
        <d v="2025-10-26T00:00:00"/>
        <d v="2025-10-22T00:00:00"/>
        <d v="2025-10-20T00:00:00"/>
        <d v="2025-10-23T00:00:00"/>
        <d v="2025-10-16T00:00:00"/>
        <d v="2025-10-27T00:00:00"/>
        <d v="2025-10-31T00:00:00"/>
        <d v="2025-11-03T00:00:00"/>
        <d v="2025-11-01T00:00:00"/>
        <d v="2025-10-30T00:00:00"/>
        <d v="2025-11-02T00:00:00"/>
        <d v="2025-11-06T00:00:00"/>
        <d v="2025-11-05T00:00:00"/>
        <d v="2025-11-07T00:00:00"/>
        <d v="2025-11-10T00:00:00"/>
        <d v="2025-11-09T00:00:00"/>
        <d v="2025-11-13T00:00:00"/>
        <d v="2025-11-08T00:00:00"/>
        <d v="2025-11-15T00:00:00"/>
        <d v="2025-11-18T00:00:00"/>
        <d v="2025-11-20T00:00:00"/>
        <d v="2025-11-21T00:00:00"/>
        <d v="2025-11-22T00:00:00"/>
        <d v="2025-11-25T00:00:00"/>
        <d v="2025-11-26T00:00:00"/>
        <d v="2025-11-27T00:00:00"/>
        <d v="2025-11-28T00:00:00"/>
        <d v="2025-12-01T00:00:00"/>
        <d v="2025-12-03T00:00:00"/>
        <d v="2025-12-02T00:00:00"/>
        <d v="2025-12-04T00:00:00"/>
        <d v="2025-12-05T00:00:00"/>
        <d v="2025-12-06T00:00:00"/>
        <d v="2025-12-08T00:00:00"/>
        <d v="2025-12-12T00:00:00"/>
        <d v="2025-12-16T00:00:00"/>
        <d v="2025-12-18T00:00:00"/>
        <d v="2025-12-20T00:00:00"/>
        <d v="2025-12-22T00:00:00"/>
        <d v="2025-12-26T00:00:00"/>
        <d v="2025-12-27T00:00:00"/>
        <d v="2025-12-28T00:00:00"/>
        <d v="2025-12-29T00:00:00"/>
        <d v="2025-12-31T00:00:00"/>
        <d v="2026-01-03T00:00:00"/>
        <d v="2025-12-30T00:00:00"/>
        <d v="2026-01-08T00:00:00"/>
        <d v="2026-01-13T00:00:00"/>
        <d v="2026-01-17T00:00:00"/>
        <d v="2026-01-27T00:00:00"/>
        <d v="2026-01-16T00:00:00"/>
        <d v="2026-01-12T00:00:00"/>
        <d v="2026-02-01T00:00:00"/>
        <d v="2026-02-03T00:00:00"/>
        <d v="2026-02-12T00:00:00"/>
        <m/>
        <d v="2026-02-14T00:00:00"/>
        <d v="2026-02-15T00:00:00"/>
        <d v="2026-02-16T00:00:00"/>
        <d v="2026-02-24T00:00:00"/>
        <d v="2026-02-27T00:00:00"/>
        <d v="2026-03-01T00:00:00"/>
        <d v="2026-02-28T00:00:00"/>
        <d v="2026-03-02T00:00:00"/>
        <d v="2026-03-05T00:00:00"/>
        <d v="2026-03-08T00:00:00"/>
        <d v="2026-03-07T00:00:00"/>
        <d v="2026-03-09T00:00:00"/>
        <d v="2026-03-10T00:00:00"/>
        <d v="2026-03-12T00:00:00"/>
        <d v="2026-03-11T00:00:00"/>
        <d v="2026-03-15T00:00:00"/>
        <d v="2026-03-20T00:00:00"/>
        <d v="2026-03-17T00:00:00"/>
        <d v="2026-03-19T00:00:00"/>
        <d v="2026-03-21T00:00:00"/>
        <d v="2026-03-18T00:00:00"/>
        <d v="2026-04-02T00:00:00"/>
        <d v="2026-04-01T00:00:00"/>
        <d v="2026-04-05T00:00:00"/>
        <d v="2026-03-22T00:00:00"/>
        <d v="2026-03-25T00:00:00"/>
        <d v="2026-03-23T00:00:00"/>
        <d v="2026-04-06T00:00:00"/>
        <d v="2026-03-28T00:00:00"/>
        <d v="2026-03-27T00:00:00"/>
        <d v="2026-03-29T00:00:00"/>
        <d v="1900-01-19T00:00:00" u="1"/>
        <d v="2026-01-19T00:00:00" u="1"/>
      </sharedItems>
    </cacheField>
    <cacheField name="План  отгрузки   " numFmtId="0">
      <sharedItems containsBlank="1" count="9">
        <s v="Турция 12,5%"/>
        <s v="Египет 12,5% "/>
        <s v="Турция 12,5% "/>
        <s v="TBN/Египет 12,5%"/>
        <s v="TBN /Турция  14,5%"/>
        <s v="Чечевица  /Турция  "/>
        <s v="Кукуруза  "/>
        <s v="Ячмень "/>
        <m u="1"/>
      </sharedItems>
    </cacheField>
    <cacheField name="Отправитель   " numFmtId="0">
      <sharedItems containsBlank="1" count="3">
        <s v="ООО «Ресурс Агро Трейдинг»"/>
        <s v="ООО ТК «Ресурс-Юг»"/>
        <m u="1"/>
      </sharedItems>
    </cacheField>
    <cacheField name="Сюрвеер  " numFmtId="0">
      <sharedItems containsBlank="1"/>
    </cacheField>
    <cacheField name="Вес  на  борту   до  начала  грузовых операций " numFmtId="164">
      <sharedItems containsString="0" containsBlank="1" containsNumber="1" minValue="1144.855" maxValue="3046.56"/>
    </cacheField>
    <cacheField name="Вес  на  борту   после  окончания    грузовых операций " numFmtId="164">
      <sharedItems containsSemiMixedTypes="0" containsString="0" containsNumber="1" minValue="0" maxValue="5267"/>
    </cacheField>
    <cacheField name="Id" numFmtId="164">
      <sharedItems/>
    </cacheField>
    <cacheField name="Год" numFmtId="1">
      <sharedItems containsMixedTypes="1" containsNumber="1" containsInteger="1" minValue="1900" maxValue="2026" count="4">
        <n v="2025"/>
        <n v="2026"/>
        <s v="Нет Данных"/>
        <n v="1900" u="1"/>
      </sharedItems>
    </cacheField>
    <cacheField name="Месяц" numFmtId="1">
      <sharedItems count="7">
        <s v="Октябрь"/>
        <s v="Ноябрь"/>
        <s v="Декабрь"/>
        <s v="Январь"/>
        <s v="Февраль"/>
        <s v="Март"/>
        <s v="Апрель"/>
      </sharedItems>
    </cacheField>
    <cacheField name="Неделя" numFmtId="1">
      <sharedItems containsSemiMixedTypes="0" containsString="0" containsNumber="1" containsInteger="1" minValue="1" maxValue="52" count="26">
        <n v="42"/>
        <n v="43"/>
        <n v="44"/>
        <n v="45"/>
        <n v="46"/>
        <n v="47"/>
        <n v="48"/>
        <n v="49"/>
        <n v="50"/>
        <n v="51"/>
        <n v="52"/>
        <n v="1"/>
        <n v="2"/>
        <n v="3"/>
        <n v="5"/>
        <n v="6"/>
        <n v="7"/>
        <n v="8"/>
        <n v="9"/>
        <n v="10"/>
        <n v="11"/>
        <n v="12"/>
        <n v="14"/>
        <n v="13"/>
        <n v="15"/>
        <n v="4" u="1"/>
      </sharedItems>
    </cacheField>
    <cacheField name="Столбец1" numFmtId="1">
      <sharedItems containsSemiMixedTypes="0" containsString="0" containsNumber="1" containsInteger="1" minValue="1" maxValue="46118" count="90">
        <n v="45948"/>
        <n v="45951"/>
        <n v="45954"/>
        <n v="45956"/>
        <n v="45952"/>
        <n v="45950"/>
        <n v="45953"/>
        <n v="45946"/>
        <n v="45957"/>
        <n v="45961"/>
        <n v="45964"/>
        <n v="45962"/>
        <n v="45960"/>
        <n v="45963"/>
        <n v="45967"/>
        <n v="45966"/>
        <n v="45968"/>
        <n v="45971"/>
        <n v="45970"/>
        <n v="45974"/>
        <n v="45969"/>
        <n v="45976"/>
        <n v="45979"/>
        <n v="45981"/>
        <n v="45982"/>
        <n v="45983"/>
        <n v="45986"/>
        <n v="45987"/>
        <n v="45988"/>
        <n v="45989"/>
        <n v="45992"/>
        <n v="45994"/>
        <n v="45993"/>
        <n v="45995"/>
        <n v="45996"/>
        <n v="45997"/>
        <n v="45999"/>
        <n v="46003"/>
        <n v="46007"/>
        <n v="46009"/>
        <n v="46011"/>
        <n v="46013"/>
        <n v="46017"/>
        <n v="46018"/>
        <n v="46019"/>
        <n v="46020"/>
        <n v="46022"/>
        <n v="46025"/>
        <n v="46021"/>
        <n v="46030"/>
        <n v="46035"/>
        <n v="46039"/>
        <n v="46049"/>
        <n v="46038"/>
        <n v="46034"/>
        <n v="46054"/>
        <n v="46056"/>
        <n v="46065"/>
        <n v="1"/>
        <n v="46067"/>
        <n v="46068"/>
        <n v="46069"/>
        <n v="46077"/>
        <n v="46080"/>
        <n v="46082"/>
        <n v="46081"/>
        <n v="46083"/>
        <n v="46086"/>
        <n v="46089"/>
        <n v="46088"/>
        <n v="46090"/>
        <n v="46091"/>
        <n v="46093"/>
        <n v="46092"/>
        <n v="46096"/>
        <n v="46101"/>
        <n v="46098"/>
        <n v="46100"/>
        <n v="46102"/>
        <n v="46099"/>
        <n v="46114"/>
        <n v="46113"/>
        <n v="46117"/>
        <n v="46103"/>
        <n v="46106"/>
        <n v="46104"/>
        <n v="46118"/>
        <n v="46109"/>
        <n v="46108"/>
        <n v="4611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Маршанский Дмитрий Сергеевич" refreshedDate="46118.37587048611" createdVersion="6" refreshedVersion="6" minRefreshableVersion="3" recordCount="118">
  <cacheSource type="worksheet">
    <worksheetSource name="Таблица1"/>
  </cacheSource>
  <cacheFields count="20">
    <cacheField name="ТХ " numFmtId="0">
      <sharedItems count="25">
        <s v="т/х Дон Стар 6 ИМО 8951396"/>
        <s v="т/х Дон Стар 4 ИМО 7911478"/>
        <s v="т/х Дон Стар 3 ИМО 7911507"/>
        <s v="т/х Дон Стар 8 ИМО 8884957"/>
        <s v="т/х Герой И.И.Петров//нб Балтис ИМО  2186884"/>
        <s v="Волго-Дон 5079 ИМО 8852784"/>
        <s v="т/х Дон Стар 1 ИМО 8866735"/>
        <s v="т/х Дон Стар 5 ИМО 8955469"/>
        <s v="т/х Дон Стар 7 ИМО 8844153"/>
        <s v=" т/х Ugah Confidence"/>
        <s v="т/х Дон Стар 2 ИМО 7911480"/>
        <s v="т/х Волго-Дон 217 ИМО 8946377"/>
        <s v="т/х В.Успенский   ИМО 8946389"/>
        <s v=" т/х Н.Мешков ИМО 8862507"/>
        <s v=" т/х Волжский 33 ИМО 8955641"/>
        <s v="т/х Дон 7111420"/>
        <s v="т/х Астра Меридиан ИМО8721399"/>
        <s v="т/х Святой Спиридон ИМО9087104"/>
        <s v="т/х Волго-Дон 5011 ИМО8951310"/>
        <s v="т/х Волго-Дон 5043 ИМО8866321"/>
        <s v="т/х Абрамцево ИМО8947955"/>
        <s v="т/х Соммерс ИМО7111420"/>
        <s v="т/х Линда1 ИМО8951334"/>
        <s v="т/х Волго-Дон219 ИМО8959207"/>
        <s v="т/х Астра МеридианИМО8721399" u="1"/>
      </sharedItems>
    </cacheField>
    <cacheField name="Порт  погрузки  " numFmtId="3">
      <sharedItems containsBlank="1" count="20">
        <s v="порт Гранит  "/>
        <s v="РКХП"/>
        <s v="Порт Грейн  "/>
        <s v="Терминал Степь  "/>
        <s v="Порт Прибой"/>
        <s v="Агропорт Устье  Дона "/>
        <s v="РКХП "/>
        <s v="РММП"/>
        <s v="ВТП "/>
        <s v="РЗТ"/>
        <s v="Порт Эльдако "/>
        <s v="РЗТ "/>
        <s v="ООО Родные Поля"/>
        <s v="ООО АМТ"/>
        <s v="СРЗ &quot;Мидель&quot;"/>
        <m/>
        <s v="Порт Прибой " u="1"/>
        <s v="Порт Корвет " u="1"/>
        <s v="АМТ " u="1"/>
        <s v="Незнаю куда" u="1"/>
      </sharedItems>
    </cacheField>
    <cacheField name="Операция" numFmtId="0">
      <sharedItems/>
    </cacheField>
    <cacheField name="Статус Рейсового  задания  " numFmtId="164">
      <sharedItems containsBlank="1" count="26">
        <s v="Архив"/>
        <s v="Ремонт"/>
        <s v="На рейде порта погрузки "/>
        <s v="Погрузка"/>
        <s v="Ожидание убытия в рейс."/>
        <s v="Следует в Азовском море"/>
        <s v="Ожидание погрузки ."/>
        <m u="1"/>
        <s v="ЮГ КЕК .Выгружен" u="1"/>
        <s v="Остановка  погрузки. Ожидание груза." u="1"/>
        <s v="Ожидание Выгрузки " u="1"/>
        <s v="ЮГ КЕК .Загружен" u="1"/>
        <s v="Следует на выгрузку в Азовском море " u="1"/>
        <s v="Прошел КЕК. Следует  на погрузку.  " u="1"/>
        <s v="Прямой рейс . Следует на выгрузку" u="1"/>
        <s v="Выгружен.Следует на погрузку." u="1"/>
        <s v="Ожидание каравана ТФК1 (Должанка)" u="1"/>
        <s v="Ожидание каравана ТФК2 (Должанка)" u="1"/>
        <s v="Остановка  погрузки. Метео ." u="1"/>
        <s v="Следует в Караване на ВХОД АДМК" u="1"/>
        <s v="Ожидание каравана ТФК2 (Ейск)" u="1"/>
        <s v=" Прошел КЕК. Следует  на погрузку.  " u="1"/>
        <s v="СЕВЕР КЕК . Загружен . " u="1"/>
        <s v="Следует на выгрузку" u="1"/>
        <s v="Прямой рейс . На рейде порта  выгрузки" u="1"/>
        <s v="Выгрузка" u="1"/>
      </sharedItems>
    </cacheField>
    <cacheField name="Вес  к  погрузке  тн" numFmtId="164">
      <sharedItems containsSemiMixedTypes="0" containsString="0" containsNumber="1" minValue="162.85" maxValue="5500"/>
    </cacheField>
    <cacheField name="Вес по  B\L" numFmtId="164">
      <sharedItems containsString="0" containsBlank="1" containsNumber="1" minValue="0" maxValue="5267" count="140">
        <n v="162.85"/>
        <n v="4011.556"/>
        <n v="3001.3359999999998"/>
        <n v="1457.1780000000001"/>
        <n v="3757.69"/>
        <n v="4779.5"/>
        <n v="596.23900000000003"/>
        <n v="3221.4090000000001"/>
        <n v="3237.9059999999999"/>
        <n v="2404.9340000000002"/>
        <n v="4779.2160000000003"/>
        <n v="3112.4859999999999"/>
        <n v="1049.1389999999999"/>
        <n v="3202.058"/>
        <n v="3000.3789999999999"/>
        <n v="4012.5459999999998"/>
        <n v="1657.6289999999999"/>
        <n v="3300.07"/>
        <n v="4781.2579999999998"/>
        <n v="3256.3449999999998"/>
        <n v="4034.03"/>
        <n v="3197.1990000000001"/>
        <n v="3259.5410000000002"/>
        <n v="4003.66"/>
        <n v="3046.56"/>
        <n v="645.53800000000001"/>
        <n v="3199.0520000000001"/>
        <n v="3241.2080000000001"/>
        <n v="3248.78"/>
        <n v="4780.7449999999999"/>
        <n v="2799.82"/>
        <n v="3300.5419999999999"/>
        <n v="4025.2979999999998"/>
        <n v="3309.6550000000002"/>
        <n v="2322.904"/>
        <n v="928.77200000000005"/>
        <n v="4775.8459999999995"/>
        <n v="1144.855"/>
        <n v="2080.3939999999998"/>
        <n v="3028.7240000000002"/>
        <n v="3300.42"/>
        <n v="4010.0010000000002"/>
        <n v="2901.6239999999998"/>
        <n v="2788.9839999999999"/>
        <n v="4812.326"/>
        <n v="3214.2060000000001"/>
        <n v="5007.8"/>
        <n v="3269.0430000000001"/>
        <n v="3249.9639999999999"/>
        <n v="4012.3980000000001"/>
        <n v="3179.6790000000001"/>
        <n v="3300.29"/>
        <n v="3209.933"/>
        <n v="3299.9589999999998"/>
        <n v="4756.8789999999999"/>
        <n v="3900"/>
        <n v="3300.549"/>
        <n v="3251.2559999999999"/>
        <n v="4196.6220000000003"/>
        <n v="4159.9269999999997"/>
        <n v="3992.37"/>
        <n v="4750.28"/>
        <n v="4055.2460000000001"/>
        <n v="3103.1849999999999"/>
        <n v="3029.04"/>
        <n v="4011.3440000000001"/>
        <n v="3008.0459999999998"/>
        <n v="3080.8"/>
        <n v="5267"/>
        <n v="4300.5600000000004"/>
        <n v="3123.0990000000002"/>
        <n v="4001.7570000000001"/>
        <n v="3169.5"/>
        <m/>
        <n v="3299.5250000000001"/>
        <n v="2982.1010000000001"/>
        <n v="4034.2849999999999"/>
        <n v="3235.8980000000001"/>
        <n v="4268.1030000000001"/>
        <n v="3300.1390000000001"/>
        <n v="2800.0630000000001"/>
        <n v="4001.598"/>
        <n v="4009.127"/>
        <n v="2879.7809999999999"/>
        <n v="3725.46"/>
        <n v="4600.24"/>
        <n v="4350.0519999999997"/>
        <n v="3235.3490000000002"/>
        <n v="4751.2169999999996"/>
        <n v="3301.9459999999999"/>
        <n v="2802.13"/>
        <n v="4019.038"/>
        <n v="4015.4270000000001"/>
        <n v="4610.7539999999999"/>
        <n v="1971.59"/>
        <n v="3700.7159999999999"/>
        <n v="4680.1400000000003"/>
        <n v="2800.1619999999998"/>
        <n v="3207.54"/>
        <n v="4756.9629999999997"/>
        <n v="4053.0749999999998"/>
        <n v="1346.396"/>
        <n v="2675.78"/>
        <n v="2803.48"/>
        <n v="2812.44"/>
        <n v="5019.62"/>
        <n v="4756.08"/>
        <n v="4817.8059999999996"/>
        <n v="3668.1"/>
        <n v="3761.5230000000001"/>
        <n v="819.62099999999998"/>
        <n v="4800"/>
        <n v="2458.91"/>
        <n v="0" u="1"/>
        <n v="2900" u="1"/>
        <n v="800" u="1"/>
        <n v="3080" u="1"/>
        <n v="4019.0479999999998" u="1"/>
        <n v="2200" u="1"/>
        <n v="3057" u="1"/>
        <n v="1490" u="1"/>
        <n v="850" u="1"/>
        <n v="1760" u="1"/>
        <n v="2438" u="1"/>
        <n v="907" u="1"/>
        <n v="2500" u="1"/>
        <n v="1505" u="1"/>
        <n v="1330" u="1"/>
        <n v="2829.05" u="1"/>
        <n v="2870" u="1"/>
        <n v="1058" u="1"/>
        <n v="260" u="1"/>
        <n v="1974" u="1"/>
        <n v="2700" u="1"/>
        <n v="1780" u="1"/>
        <n v="140" u="1"/>
        <n v="308" u="1"/>
        <n v="2800" u="1"/>
        <n v="3510" u="1"/>
        <n v="1120" u="1"/>
      </sharedItems>
    </cacheField>
    <cacheField name="NOR погрузка" numFmtId="165">
      <sharedItems containsNonDate="0" containsDate="1" containsString="0" containsBlank="1" minDate="2025-10-14T07:30:00" maxDate="2025-12-02T10:50:00"/>
    </cacheField>
    <cacheField name="Дата  начала  грузовых операций  " numFmtId="165">
      <sharedItems containsNonDate="0" containsDate="1" containsString="0" containsBlank="1" minDate="2025-10-15T21:20:00" maxDate="2025-12-02T13:25:00"/>
    </cacheField>
    <cacheField name="Дата  окончания грузовых операций  " numFmtId="165">
      <sharedItems containsDate="1" containsBlank="1" containsMixedTypes="1" minDate="2025-10-16T20:00:00" maxDate="2025-12-03T10:35:00"/>
    </cacheField>
    <cacheField name="Дата  составления  B\L" numFmtId="14">
      <sharedItems containsNonDate="0" containsDate="1" containsString="0" containsBlank="1" minDate="1900-01-19T00:00:00" maxDate="2026-04-07T00:00:00" count="92">
        <d v="2025-10-18T00:00:00"/>
        <d v="2025-10-21T00:00:00"/>
        <d v="2025-10-24T00:00:00"/>
        <d v="2025-10-26T00:00:00"/>
        <d v="2025-10-22T00:00:00"/>
        <d v="2025-10-20T00:00:00"/>
        <d v="2025-10-23T00:00:00"/>
        <d v="2025-10-16T00:00:00"/>
        <d v="2025-10-27T00:00:00"/>
        <d v="2025-10-31T00:00:00"/>
        <d v="2025-11-03T00:00:00"/>
        <d v="2025-11-01T00:00:00"/>
        <d v="2025-10-30T00:00:00"/>
        <d v="2025-11-02T00:00:00"/>
        <d v="2025-11-06T00:00:00"/>
        <d v="2025-11-05T00:00:00"/>
        <d v="2025-11-07T00:00:00"/>
        <d v="2025-11-10T00:00:00"/>
        <d v="2025-11-09T00:00:00"/>
        <d v="2025-11-13T00:00:00"/>
        <d v="2025-11-08T00:00:00"/>
        <d v="2025-11-15T00:00:00"/>
        <d v="2025-11-18T00:00:00"/>
        <d v="2025-11-20T00:00:00"/>
        <d v="2025-11-21T00:00:00"/>
        <d v="2025-11-22T00:00:00"/>
        <d v="2025-11-25T00:00:00"/>
        <d v="2025-11-26T00:00:00"/>
        <d v="2025-11-27T00:00:00"/>
        <d v="2025-11-28T00:00:00"/>
        <d v="2025-12-01T00:00:00"/>
        <d v="2025-12-03T00:00:00"/>
        <d v="2025-12-02T00:00:00"/>
        <d v="2025-12-04T00:00:00"/>
        <d v="2025-12-05T00:00:00"/>
        <d v="2025-12-06T00:00:00"/>
        <d v="2025-12-08T00:00:00"/>
        <d v="2025-12-12T00:00:00"/>
        <d v="2025-12-16T00:00:00"/>
        <d v="2025-12-18T00:00:00"/>
        <d v="2025-12-20T00:00:00"/>
        <d v="2025-12-22T00:00:00"/>
        <d v="2025-12-26T00:00:00"/>
        <d v="2025-12-27T00:00:00"/>
        <d v="2025-12-28T00:00:00"/>
        <d v="2025-12-29T00:00:00"/>
        <d v="2025-12-31T00:00:00"/>
        <d v="2026-01-03T00:00:00"/>
        <d v="2025-12-30T00:00:00"/>
        <d v="2026-01-08T00:00:00"/>
        <d v="2026-01-13T00:00:00"/>
        <d v="2026-01-17T00:00:00"/>
        <d v="2026-01-27T00:00:00"/>
        <d v="2026-01-16T00:00:00"/>
        <d v="2026-01-12T00:00:00"/>
        <d v="2026-02-01T00:00:00"/>
        <d v="2026-02-03T00:00:00"/>
        <d v="2026-02-12T00:00:00"/>
        <m/>
        <d v="2026-02-14T00:00:00"/>
        <d v="2026-02-15T00:00:00"/>
        <d v="2026-02-16T00:00:00"/>
        <d v="2026-02-24T00:00:00"/>
        <d v="2026-02-27T00:00:00"/>
        <d v="2026-03-01T00:00:00"/>
        <d v="2026-02-28T00:00:00"/>
        <d v="2026-03-02T00:00:00"/>
        <d v="2026-03-05T00:00:00"/>
        <d v="2026-03-08T00:00:00"/>
        <d v="2026-03-07T00:00:00"/>
        <d v="2026-03-09T00:00:00"/>
        <d v="2026-03-10T00:00:00"/>
        <d v="2026-03-12T00:00:00"/>
        <d v="2026-03-11T00:00:00"/>
        <d v="2026-03-15T00:00:00"/>
        <d v="2026-03-20T00:00:00"/>
        <d v="2026-03-17T00:00:00"/>
        <d v="2026-03-19T00:00:00"/>
        <d v="2026-03-21T00:00:00"/>
        <d v="2026-03-18T00:00:00"/>
        <d v="2026-04-02T00:00:00"/>
        <d v="2026-04-01T00:00:00"/>
        <d v="2026-04-05T00:00:00"/>
        <d v="2026-03-22T00:00:00"/>
        <d v="2026-03-25T00:00:00"/>
        <d v="2026-03-23T00:00:00"/>
        <d v="2026-04-06T00:00:00"/>
        <d v="2026-03-28T00:00:00"/>
        <d v="2026-03-27T00:00:00"/>
        <d v="2026-03-29T00:00:00"/>
        <d v="1900-01-19T00:00:00" u="1"/>
        <d v="2026-01-19T00:00:00" u="1"/>
      </sharedItems>
    </cacheField>
    <cacheField name="План  отгрузки   " numFmtId="0">
      <sharedItems containsBlank="1" count="9">
        <s v="Турция 12,5%"/>
        <s v="Египет 12,5% "/>
        <s v="Турция 12,5% "/>
        <s v="TBN/Египет 12,5%"/>
        <s v="TBN /Турция  14,5%"/>
        <s v="Чечевица  /Турция  "/>
        <s v="Кукуруза  "/>
        <s v="Ячмень "/>
        <m u="1"/>
      </sharedItems>
    </cacheField>
    <cacheField name="Отправитель   " numFmtId="0">
      <sharedItems containsBlank="1" count="3">
        <s v="ООО «Ресурс Агро Трейдинг»"/>
        <s v="ООО ТК «Ресурс-Юг»"/>
        <m u="1"/>
      </sharedItems>
    </cacheField>
    <cacheField name="Сюрвеер  " numFmtId="0">
      <sharedItems containsBlank="1"/>
    </cacheField>
    <cacheField name="Вес  на  борту   до  начала  грузовых операций " numFmtId="164">
      <sharedItems containsString="0" containsBlank="1" containsNumber="1" minValue="1144.855" maxValue="3046.56"/>
    </cacheField>
    <cacheField name="Вес  на  борту   после  окончания    грузовых операций " numFmtId="164">
      <sharedItems containsSemiMixedTypes="0" containsString="0" containsNumber="1" minValue="0" maxValue="5267"/>
    </cacheField>
    <cacheField name="Id" numFmtId="164">
      <sharedItems/>
    </cacheField>
    <cacheField name="Год" numFmtId="1">
      <sharedItems containsMixedTypes="1" containsNumber="1" containsInteger="1" minValue="2025" maxValue="2026"/>
    </cacheField>
    <cacheField name="Месяц" numFmtId="1">
      <sharedItems/>
    </cacheField>
    <cacheField name="Неделя" numFmtId="1">
      <sharedItems containsSemiMixedTypes="0" containsString="0" containsNumber="1" containsInteger="1" minValue="1" maxValue="52"/>
    </cacheField>
    <cacheField name="Столбец1" numFmtId="1">
      <sharedItems containsSemiMixedTypes="0" containsString="0" containsNumber="1" containsInteger="1" minValue="1" maxValue="46118"/>
    </cacheField>
  </cacheFields>
  <extLst>
    <ext xmlns:x14="http://schemas.microsoft.com/office/spreadsheetml/2009/9/main" uri="{725AE2AE-9491-48be-B2B4-4EB974FC3084}">
      <x14:pivotCacheDefinition pivotCacheId="10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Маршанский Дмитрий Сергеевич" refreshedDate="46118.375861574073" createdVersion="3" refreshedVersion="6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60">
    <cacheHierarchy uniqueName="[ТаблВыгрузка].[ТХ]" caption="ТХ" attribute="1" defaultMemberUniqueName="[ТаблВыгрузка].[ТХ].[All]" allUniqueName="[ТаблВыгрузка].[ТХ].[All]" dimensionUniqueName="[ТаблВыгрузка]" displayFolder="" count="0" memberValueDatatype="130" unbalanced="0"/>
    <cacheHierarchy uniqueName="[ТаблВыгрузка].[Статус]" caption="Статус" attribute="1" defaultMemberUniqueName="[ТаблВыгрузка].[Статус].[All]" allUniqueName="[ТаблВыгрузка].[Статус].[All]" dimensionUniqueName="[ТаблВыгрузка]" displayFolder="" count="0" memberValueDatatype="130" unbalanced="0"/>
    <cacheHierarchy uniqueName="[ТаблВыгрузка].[Операция]" caption="Операция" attribute="1" defaultMemberUniqueName="[ТаблВыгрузка].[Операция].[All]" allUniqueName="[ТаблВыгрузка].[Операция].[All]" dimensionUniqueName="[ТаблВыгрузка]" displayFolder="" count="0" memberValueDatatype="130" unbalanced="0"/>
    <cacheHierarchy uniqueName="[ТаблВыгрузка].[Вес по  B\L]" caption="Вес по  B\L" attribute="1" defaultMemberUniqueName="[ТаблВыгрузка].[Вес по  B\L].[All]" allUniqueName="[ТаблВыгрузка].[Вес по  B\L].[All]" dimensionUniqueName="[ТаблВыгрузка]" displayFolder="" count="0" memberValueDatatype="5" unbalanced="0"/>
    <cacheHierarchy uniqueName="[ТаблВыгрузка].[Вес  выгруженный в накопитель]" caption="Вес  выгруженный в накопитель" attribute="1" defaultMemberUniqueName="[ТаблВыгрузка].[Вес  выгруженный в накопитель].[All]" allUniqueName="[ТаблВыгрузка].[Вес  выгруженный в накопитель].[All]" dimensionUniqueName="[ТаблВыгрузка]" displayFolder="" count="0" memberValueDatatype="5" unbalanced="0"/>
    <cacheHierarchy uniqueName="[ТаблВыгрузка].[NOR Разгрузка]" caption="NOR Разгрузка" attribute="1" time="1" defaultMemberUniqueName="[ТаблВыгрузка].[NOR Разгрузка].[All]" allUniqueName="[ТаблВыгрузка].[NOR Разгрузка].[All]" dimensionUniqueName="[ТаблВыгрузка]" displayFolder="" count="0" memberValueDatatype="7" unbalanced="0"/>
    <cacheHierarchy uniqueName="[ТаблВыгрузка].[Дата  начала  грузовых операций]" caption="Дата  начала  грузовых операций" attribute="1" time="1" defaultMemberUniqueName="[ТаблВыгрузка].[Дата  начала  грузовых операций].[All]" allUniqueName="[ТаблВыгрузка].[Дата  начала  грузовых операций].[All]" dimensionUniqueName="[ТаблВыгрузка]" displayFolder="" count="0" memberValueDatatype="7" unbalanced="0"/>
    <cacheHierarchy uniqueName="[ТаблВыгрузка].[Дата  окончания грузовых операций]" caption="Дата  окончания грузовых операций" attribute="1" time="1" defaultMemberUniqueName="[ТаблВыгрузка].[Дата  окончания грузовых операций].[All]" allUniqueName="[ТаблВыгрузка].[Дата  окончания грузовых операций].[All]" dimensionUniqueName="[ТаблВыгрузка]" displayFolder="" count="0" memberValueDatatype="7" unbalanced="0"/>
    <cacheHierarchy uniqueName="[ТаблВыгрузка].[Дата  составления  B\L речник]" caption="Дата  составления  B\L речник" attribute="1" time="1" defaultMemberUniqueName="[ТаблВыгрузка].[Дата  составления  B\L речник].[All]" allUniqueName="[ТаблВыгрузка].[Дата  составления  B\L речник].[All]" dimensionUniqueName="[ТаблВыгрузка]" displayFolder="" count="0" memberValueDatatype="7" unbalanced="0"/>
    <cacheHierarchy uniqueName="[ТаблВыгрузка].[Накопитель]" caption="Накопитель" attribute="1" defaultMemberUniqueName="[ТаблВыгрузка].[Накопитель].[All]" allUniqueName="[ТаблВыгрузка].[Накопитель].[All]" dimensionUniqueName="[ТаблВыгрузка]" displayFolder="" count="0" memberValueDatatype="130" unbalanced="0"/>
    <cacheHierarchy uniqueName="[ТаблВыгрузка].[Отправитель]" caption="Отправитель" attribute="1" defaultMemberUniqueName="[ТаблВыгрузка].[Отправитель].[All]" allUniqueName="[ТаблВыгрузка].[Отправитель].[All]" dimensionUniqueName="[ТаблВыгрузка]" displayFolder="" count="0" memberValueDatatype="130" unbalanced="0"/>
    <cacheHierarchy uniqueName="[ТаблВыгрузка].[Id key]" caption="Id key" attribute="1" defaultMemberUniqueName="[ТаблВыгрузка].[Id key].[All]" allUniqueName="[ТаблВыгрузка].[Id key].[All]" dimensionUniqueName="[ТаблВыгрузка]" displayFolder="" count="0" memberValueDatatype="130" unbalanced="0"/>
    <cacheHierarchy uniqueName="[ТаблВыгрузка].[Дата направления уведомления]" caption="Дата направления уведомления" attribute="1" time="1" defaultMemberUniqueName="[ТаблВыгрузка].[Дата направления уведомления].[All]" allUniqueName="[ТаблВыгрузка].[Дата направления уведомления].[All]" dimensionUniqueName="[ТаблВыгрузка]" displayFolder="" count="0" memberValueDatatype="7" unbalanced="0"/>
    <cacheHierarchy uniqueName="[ТаблПогруз].[ТХ]" caption="ТХ" attribute="1" defaultMemberUniqueName="[ТаблПогруз].[ТХ].[All]" allUniqueName="[ТаблПогруз].[ТХ].[All]" dimensionUniqueName="[ТаблПогруз]" displayFolder="" count="2" memberValueDatatype="130" unbalanced="0"/>
    <cacheHierarchy uniqueName="[ТаблПогруз].[Порт  погрузки]" caption="Порт  погрузки" attribute="1" defaultMemberUniqueName="[ТаблПогруз].[Порт  погрузки].[All]" allUniqueName="[ТаблПогруз].[Порт  погрузки].[All]" dimensionUniqueName="[ТаблПогруз]" displayFolder="" count="0" memberValueDatatype="130" unbalanced="0"/>
    <cacheHierarchy uniqueName="[ТаблПогруз].[Операция]" caption="Операция" attribute="1" defaultMemberUniqueName="[ТаблПогруз].[Операция].[All]" allUniqueName="[ТаблПогруз].[Операция].[All]" dimensionUniqueName="[ТаблПогруз]" displayFolder="" count="0" memberValueDatatype="130" unbalanced="0"/>
    <cacheHierarchy uniqueName="[ТаблПогруз].[Статус Рейсового  задания]" caption="Статус Рейсового  задания" attribute="1" defaultMemberUniqueName="[ТаблПогруз].[Статус Рейсового  задания].[All]" allUniqueName="[ТаблПогруз].[Статус Рейсового  задания].[All]" dimensionUniqueName="[ТаблПогруз]" displayFolder="" count="0" memberValueDatatype="130" unbalanced="0"/>
    <cacheHierarchy uniqueName="[ТаблПогруз].[Вес  к  погрузке  тн]" caption="Вес  к  погрузке  тн" attribute="1" defaultMemberUniqueName="[ТаблПогруз].[Вес  к  погрузке  тн].[All]" allUniqueName="[ТаблПогруз].[Вес  к  погрузке  тн].[All]" dimensionUniqueName="[ТаблПогруз]" displayFolder="" count="0" memberValueDatatype="5" unbalanced="0"/>
    <cacheHierarchy uniqueName="[ТаблПогруз].[Вес по  B\L]" caption="Вес по  B\L" attribute="1" defaultMemberUniqueName="[ТаблПогруз].[Вес по  B\L].[All]" allUniqueName="[ТаблПогруз].[Вес по  B\L].[All]" dimensionUniqueName="[ТаблПогруз]" displayFolder="" count="2" memberValueDatatype="5" unbalanced="0"/>
    <cacheHierarchy uniqueName="[ТаблПогруз].[NOR погрузка]" caption="NOR погрузка" attribute="1" time="1" defaultMemberUniqueName="[ТаблПогруз].[NOR погрузка].[All]" allUniqueName="[ТаблПогруз].[NOR погрузка].[All]" dimensionUniqueName="[ТаблПогруз]" displayFolder="" count="0" memberValueDatatype="7" unbalanced="0"/>
    <cacheHierarchy uniqueName="[ТаблПогруз].[Дата  начала  грузовых операций]" caption="Дата  начала  грузовых операций" attribute="1" time="1" defaultMemberUniqueName="[ТаблПогруз].[Дата  начала  грузовых операций].[All]" allUniqueName="[ТаблПогруз].[Дата  начала  грузовых операций].[All]" dimensionUniqueName="[ТаблПогруз]" displayFolder="" count="0" memberValueDatatype="7" unbalanced="0"/>
    <cacheHierarchy uniqueName="[ТаблПогруз].[Дата  окончания грузовых операций]" caption="Дата  окончания грузовых операций" attribute="1" defaultMemberUniqueName="[ТаблПогруз].[Дата  окончания грузовых операций].[All]" allUniqueName="[ТаблПогруз].[Дата  окончания грузовых операций].[All]" dimensionUniqueName="[ТаблПогруз]" displayFolder="" count="0" memberValueDatatype="130" unbalanced="0"/>
    <cacheHierarchy uniqueName="[ТаблПогруз].[Дата  составления  B\L]" caption="Дата  составления  B\L" attribute="1" time="1" defaultMemberUniqueName="[ТаблПогруз].[Дата  составления  B\L].[All]" allUniqueName="[ТаблПогруз].[Дата  составления  B\L].[All]" dimensionUniqueName="[ТаблПогруз]" displayFolder="" count="2" memberValueDatatype="7" unbalanced="0"/>
    <cacheHierarchy uniqueName="[ТаблПогруз].[План  отгрузки]" caption="План  отгрузки" attribute="1" defaultMemberUniqueName="[ТаблПогруз].[План  отгрузки].[All]" allUniqueName="[ТаблПогруз].[План  отгрузки].[All]" dimensionUniqueName="[ТаблПогруз]" displayFolder="" count="0" memberValueDatatype="130" unbalanced="0"/>
    <cacheHierarchy uniqueName="[ТаблПогруз].[Отправитель]" caption="Отправитель" attribute="1" defaultMemberUniqueName="[ТаблПогруз].[Отправитель].[All]" allUniqueName="[ТаблПогруз].[Отправитель].[All]" dimensionUniqueName="[ТаблПогруз]" displayFolder="" count="0" memberValueDatatype="130" unbalanced="0"/>
    <cacheHierarchy uniqueName="[ТаблПогруз].[Сюрвеер]" caption="Сюрвеер" attribute="1" defaultMemberUniqueName="[ТаблПогруз].[Сюрвеер].[All]" allUniqueName="[ТаблПогруз].[Сюрвеер].[All]" dimensionUniqueName="[ТаблПогруз]" displayFolder="" count="0" memberValueDatatype="130" unbalanced="0"/>
    <cacheHierarchy uniqueName="[ТаблПогруз].[Вес  на  борту   до  начала  грузовых операций]" caption="Вес  на  борту   до  начала  грузовых операций" attribute="1" defaultMemberUniqueName="[ТаблПогруз].[Вес  на  борту   до  начала  грузовых операций].[All]" allUniqueName="[ТаблПогруз].[Вес  на  борту   до  начала  грузовых операций].[All]" dimensionUniqueName="[ТаблПогруз]" displayFolder="" count="0" memberValueDatatype="5" unbalanced="0"/>
    <cacheHierarchy uniqueName="[ТаблПогруз].[Вес  на  борту   после  окончания    грузовых операций]" caption="Вес  на  борту   после  окончания    грузовых операций" attribute="1" defaultMemberUniqueName="[ТаблПогруз].[Вес  на  борту   после  окончания    грузовых операций].[All]" allUniqueName="[ТаблПогруз].[Вес  на  борту   после  окончания    грузовых операций].[All]" dimensionUniqueName="[ТаблПогруз]" displayFolder="" count="0" memberValueDatatype="5" unbalanced="0"/>
    <cacheHierarchy uniqueName="[ТаблПогруз].[Id]" caption="Id" attribute="1" defaultMemberUniqueName="[ТаблПогруз].[Id].[All]" allUniqueName="[ТаблПогруз].[Id].[All]" dimensionUniqueName="[ТаблПогруз]" displayFolder="" count="0" memberValueDatatype="130" unbalanced="0"/>
    <cacheHierarchy uniqueName="[ТаблПогруз].[Год]" caption="Год" attribute="1" defaultMemberUniqueName="[ТаблПогруз].[Год].[All]" allUniqueName="[ТаблПогруз].[Год].[All]" dimensionUniqueName="[ТаблПогруз]" displayFolder="" count="0" memberValueDatatype="130" unbalanced="0"/>
    <cacheHierarchy uniqueName="[ТаблПогруз].[Месяц]" caption="Месяц" attribute="1" defaultMemberUniqueName="[ТаблПогруз].[Месяц].[All]" allUniqueName="[ТаблПогруз].[Месяц].[All]" dimensionUniqueName="[ТаблПогруз]" displayFolder="" count="0" memberValueDatatype="130" unbalanced="0"/>
    <cacheHierarchy uniqueName="[ТаблПогруз].[Неделя]" caption="Неделя" attribute="1" defaultMemberUniqueName="[ТаблПогруз].[Неделя].[All]" allUniqueName="[ТаблПогруз].[Неделя].[All]" dimensionUniqueName="[ТаблПогруз]" displayFolder="" count="0" memberValueDatatype="20" unbalanced="0"/>
    <cacheHierarchy uniqueName="[ТаблПогруз].[Дата  составления  B\L (Год)]" caption="Дата  составления  B\L (Год)" attribute="1" defaultMemberUniqueName="[ТаблПогруз].[Дата  составления  B\L (Год)].[All]" allUniqueName="[ТаблПогруз].[Дата  составления  B\L (Год)].[All]" dimensionUniqueName="[ТаблПогруз]" displayFolder="" count="0" memberValueDatatype="130" unbalanced="0"/>
    <cacheHierarchy uniqueName="[ТаблПогруз].[Дата  составления  B\L (Квартал)]" caption="Дата  составления  B\L (Квартал)" attribute="1" defaultMemberUniqueName="[ТаблПогруз].[Дата  составления  B\L (Квартал)].[All]" allUniqueName="[ТаблПогруз].[Дата  составления  B\L (Квартал)].[All]" dimensionUniqueName="[ТаблПогруз]" displayFolder="" count="0" memberValueDatatype="130" unbalanced="0"/>
    <cacheHierarchy uniqueName="[ТаблПогруз].[Дата  составления  B\L (Месяц)]" caption="Дата  составления  B\L (Месяц)" attribute="1" defaultMemberUniqueName="[ТаблПогруз].[Дата  составления  B\L (Месяц)].[All]" allUniqueName="[ТаблПогруз].[Дата  составления  B\L (Месяц)].[All]" dimensionUniqueName="[ТаблПогруз]" displayFolder="" count="0" memberValueDatatype="130" unbalanced="0"/>
    <cacheHierarchy uniqueName="[ТаблПогруз].[Столбец1]" caption="Столбец1" attribute="1" defaultMemberUniqueName="[ТаблПогруз].[Столбец1].[All]" allUniqueName="[ТаблПогруз].[Столбец1].[All]" dimensionUniqueName="[ТаблПогруз]" displayFolder="" count="0" memberValueDatatype="20" unbalanced="0"/>
    <cacheHierarchy uniqueName="[ТаблПогрузкаМоряк].[ТХ]" caption="ТХ" attribute="1" defaultMemberUniqueName="[ТаблПогрузкаМоряк].[ТХ].[All]" allUniqueName="[ТаблПогрузкаМоряк].[ТХ].[All]" dimensionUniqueName="[ТаблПогрузкаМоряк]" displayFolder="" count="0" memberValueDatatype="130" unbalanced="0"/>
    <cacheHierarchy uniqueName="[ТаблПогрузкаМоряк].[Статус]" caption="Статус" attribute="1" defaultMemberUniqueName="[ТаблПогрузкаМоряк].[Статус].[All]" allUniqueName="[ТаблПогрузкаМоряк].[Статус].[All]" dimensionUniqueName="[ТаблПогрузкаМоряк]" displayFolder="" count="0" memberValueDatatype="130" unbalanced="0"/>
    <cacheHierarchy uniqueName="[ТаблПогрузкаМоряк].[Операция]" caption="Операция" attribute="1" defaultMemberUniqueName="[ТаблПогрузкаМоряк].[Операция].[All]" allUniqueName="[ТаблПогрузкаМоряк].[Операция].[All]" dimensionUniqueName="[ТаблПогрузкаМоряк]" displayFolder="" count="2" memberValueDatatype="130" unbalanced="0"/>
    <cacheHierarchy uniqueName="[ТаблПогрузкаМоряк].[Вес  погруженный]" caption="Вес  погруженный" attribute="1" defaultMemberUniqueName="[ТаблПогрузкаМоряк].[Вес  погруженный].[All]" allUniqueName="[ТаблПогрузкаМоряк].[Вес  погруженный].[All]" dimensionUniqueName="[ТаблПогрузкаМоряк]" displayFolder="" count="0" memberValueDatatype="5" unbalanced="0"/>
    <cacheHierarchy uniqueName="[ТаблПогрузкаМоряк].[Накопитель]" caption="Накопитель" attribute="1" defaultMemberUniqueName="[ТаблПогрузкаМоряк].[Накопитель].[All]" allUniqueName="[ТаблПогрузкаМоряк].[Накопитель].[All]" dimensionUniqueName="[ТаблПогрузкаМоряк]" displayFolder="" count="2" memberValueDatatype="130" unbalanced="0"/>
    <cacheHierarchy uniqueName="[ТаблПогрузкаМоряк].[Дата  начала  грузовых операций]" caption="Дата  начала  грузовых операций" attribute="1" time="1" defaultMemberUniqueName="[ТаблПогрузкаМоряк].[Дата  начала  грузовых операций].[All]" allUniqueName="[ТаблПогрузкаМоряк].[Дата  начала  грузовых операций].[All]" dimensionUniqueName="[ТаблПогрузкаМоряк]" displayFolder="" count="0" memberValueDatatype="7" unbalanced="0"/>
    <cacheHierarchy uniqueName="[ТаблПогрузкаМоряк].[Дата  окончания грузовых операций]" caption="Дата  окончания грузовых операций" attribute="1" time="1" defaultMemberUniqueName="[ТаблПогрузкаМоряк].[Дата  окончания грузовых операций].[All]" allUniqueName="[ТаблПогрузкаМоряк].[Дата  окончания грузовых операций].[All]" dimensionUniqueName="[ТаблПогрузкаМоряк]" displayFolder="" count="0" memberValueDatatype="7" unbalanced="0"/>
    <cacheHierarchy uniqueName="[ТаблПогрузкаМоряк].[Морское Судно]" caption="Морское Судно" attribute="1" defaultMemberUniqueName="[ТаблПогрузкаМоряк].[Морское Судно].[All]" allUniqueName="[ТаблПогрузкаМоряк].[Морское Судно].[All]" dimensionUniqueName="[ТаблПогрузкаМоряк]" displayFolder="" count="2" memberValueDatatype="130" unbalanced="0"/>
    <cacheHierarchy uniqueName="[ТаблПогрузкаМоряк].[Дата  составления  B\L Морского Судна]" caption="Дата  составления  B\L Морского Судна" attribute="1" time="1" defaultMemberUniqueName="[ТаблПогрузкаМоряк].[Дата  составления  B\L Морского Судна].[All]" allUniqueName="[ТаблПогрузкаМоряк].[Дата  составления  B\L Морского Судна].[All]" dimensionUniqueName="[ТаблПогрузкаМоряк]" displayFolder="" count="2" memberValueDatatype="7" unbalanced="0"/>
    <cacheHierarchy uniqueName="[ТаблПогрузкаМоряк].[Отправитель]" caption="Отправитель" attribute="1" defaultMemberUniqueName="[ТаблПогрузкаМоряк].[Отправитель].[All]" allUniqueName="[ТаблПогрузкаМоряк].[Отправитель].[All]" dimensionUniqueName="[ТаблПогрузкаМоряк]" displayFolder="" count="0" memberValueDatatype="130" unbalanced="0"/>
    <cacheHierarchy uniqueName="[ТаблПогрузкаМоряк].[Id key]" caption="Id key" attribute="1" defaultMemberUniqueName="[ТаблПогрузкаМоряк].[Id key].[All]" allUniqueName="[ТаблПогрузкаМоряк].[Id key].[All]" dimensionUniqueName="[ТаблПогрузкаМоряк]" displayFolder="" count="0" memberValueDatatype="130" unbalanced="0"/>
    <cacheHierarchy uniqueName="[ТаблПогрузкаМоряк].[Дата направления уведомления]" caption="Дата направления уведомления" attribute="1" time="1" defaultMemberUniqueName="[ТаблПогрузкаМоряк].[Дата направления уведомления].[All]" allUniqueName="[ТаблПогрузкаМоряк].[Дата направления уведомления].[All]" dimensionUniqueName="[ТаблПогрузкаМоряк]" displayFolder="" count="0" memberValueDatatype="7" unbalanced="0"/>
    <cacheHierarchy uniqueName="[ТаблПогрузкаМоряк].[Calculated Column 1]" caption="Calculated Column 1" attribute="1" defaultMemberUniqueName="[ТаблПогрузкаМоряк].[Calculated Column 1].[All]" allUniqueName="[ТаблПогрузкаМоряк].[Calculated Column 1].[All]" dimensionUniqueName="[ТаблПогрузкаМоряк]" displayFolder="" count="0" memberValueDatatype="20" unbalanced="0"/>
    <cacheHierarchy uniqueName="[ТаблПогрузкаМоряк].[Произв.Неделя]" caption="Произв.Неделя" attribute="1" defaultMemberUniqueName="[ТаблПогрузкаМоряк].[Произв.Неделя].[All]" allUniqueName="[ТаблПогрузкаМоряк].[Произв.Неделя].[All]" dimensionUniqueName="[ТаблПогрузкаМоряк]" displayFolder="" count="2" memberValueDatatype="20" unbalanced="0"/>
    <cacheHierarchy uniqueName="[ТаблПогрузкаМоряк].[месяц]" caption="месяц" attribute="1" defaultMemberUniqueName="[ТаблПогрузкаМоряк].[месяц].[All]" allUniqueName="[ТаблПогрузкаМоряк].[месяц].[All]" dimensionUniqueName="[ТаблПогрузкаМоряк]" displayFolder="" count="2" memberValueDatatype="130" unbalanced="0"/>
    <cacheHierarchy uniqueName="[ТаблПогрузкаМоряк].[год]" caption="год" attribute="1" defaultMemberUniqueName="[ТаблПогрузкаМоряк].[год].[All]" allUniqueName="[ТаблПогрузкаМоряк].[год].[All]" dimensionUniqueName="[ТаблПогрузкаМоряк]" displayFolder="" count="0" memberValueDatatype="20" unbalanced="0"/>
    <cacheHierarchy uniqueName="[ТаблПогруз].[Дата  составления  B\L (Индекс месяца)]" caption="Дата  составления  B\L (Индекс месяца)" attribute="1" defaultMemberUniqueName="[ТаблПогруз].[Дата  составления  B\L (Индекс месяца)].[All]" allUniqueName="[ТаблПогруз].[Дата  составления  B\L (Индекс месяца)].[All]" dimensionUniqueName="[ТаблПогруз]" displayFolder="" count="0" memberValueDatatype="20" unbalanced="0" hidden="1"/>
    <cacheHierarchy uniqueName="[Measures].[__XL_Count Таблица1]" caption="__XL_Count Таблица1" measure="1" displayFolder="" measureGroup="ТаблПогруз" count="0" hidden="1"/>
    <cacheHierarchy uniqueName="[Measures].[__XL_Count Таблица16]" caption="__XL_Count Таблица16" measure="1" displayFolder="" measureGroup="ТаблВыгрузка" count="0" hidden="1"/>
    <cacheHierarchy uniqueName="[Measures].[__XL_Count Таблица163]" caption="__XL_Count Таблица163" measure="1" displayFolder="" measureGroup="ТаблПогрузкаМоряк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Сумма по столбцу Вес  погруженный]" caption="Сумма по столбцу Вес  погруженный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Сумма по столбцу Вес по  B\L]" caption="Сумма по столбцу Вес по  B\L" measure="1" displayFolder="" measureGroup="ТаблПогруз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Отправитель]" caption="Число элементов в столбце Отправитель" measure="1" displayFolder="" measureGroup="ТаблПогрузкаМоряк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3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8">
  <r>
    <x v="0"/>
    <x v="0"/>
    <s v="Догрузка1"/>
    <s v="Архив"/>
    <n v="162.85"/>
    <x v="0"/>
    <d v="2025-10-18T17:00:00"/>
    <d v="2025-10-18T18:15:00"/>
    <d v="2025-10-18T19:30:00"/>
    <x v="0"/>
    <x v="0"/>
    <x v="0"/>
    <s v="Бюро Веритас "/>
    <n v="2404.9340000000002"/>
    <n v="2567.7840000000001"/>
    <s v="т/х Дон Стар 6 ИМО 8951396/45948"/>
    <x v="0"/>
    <x v="0"/>
    <x v="0"/>
    <x v="0"/>
  </r>
  <r>
    <x v="1"/>
    <x v="1"/>
    <s v="Погрузка"/>
    <s v="Архив"/>
    <n v="4000"/>
    <x v="1"/>
    <d v="2025-10-19T17:15:00"/>
    <d v="2025-10-20T14:10:00"/>
    <d v="2025-10-21T18:10:00"/>
    <x v="1"/>
    <x v="1"/>
    <x v="0"/>
    <s v="Котекна"/>
    <m/>
    <n v="4011.556"/>
    <s v="т/х Дон Стар 4 ИМО 7911478/45951"/>
    <x v="0"/>
    <x v="0"/>
    <x v="1"/>
    <x v="1"/>
  </r>
  <r>
    <x v="2"/>
    <x v="2"/>
    <s v="Погрузка"/>
    <s v="Архив"/>
    <n v="3000"/>
    <x v="2"/>
    <d v="2025-10-22T14:00:00"/>
    <d v="2025-10-22T17:00:00"/>
    <d v="2025-10-24T07:40:00"/>
    <x v="2"/>
    <x v="2"/>
    <x v="0"/>
    <s v="Котекна"/>
    <m/>
    <n v="3001.3359999999998"/>
    <s v="т/х Дон Стар 3 ИМО 7911507/45954"/>
    <x v="0"/>
    <x v="0"/>
    <x v="1"/>
    <x v="2"/>
  </r>
  <r>
    <x v="3"/>
    <x v="2"/>
    <s v="Погрузка"/>
    <s v="Архив"/>
    <n v="1500"/>
    <x v="3"/>
    <d v="2025-10-26T21:50:00"/>
    <d v="2025-10-27T11:00:00"/>
    <d v="2025-10-28T22:05:00"/>
    <x v="3"/>
    <x v="2"/>
    <x v="0"/>
    <s v="Котекна"/>
    <m/>
    <n v="1457.1780000000001"/>
    <s v="т/х Дон Стар 8 ИМО 8884957/45956"/>
    <x v="0"/>
    <x v="0"/>
    <x v="1"/>
    <x v="3"/>
  </r>
  <r>
    <x v="4"/>
    <x v="3"/>
    <s v="Погрузка"/>
    <s v="Архив"/>
    <n v="3750"/>
    <x v="4"/>
    <d v="2025-10-20T21:30:00"/>
    <d v="2025-10-21T00:10:00"/>
    <d v="2025-10-21T02:10:00"/>
    <x v="4"/>
    <x v="0"/>
    <x v="0"/>
    <s v="Бюро Веритас "/>
    <m/>
    <n v="3757.69"/>
    <s v="т/х Герой И.И.Петров//нб Балтис ИМО  2186884/45952"/>
    <x v="0"/>
    <x v="0"/>
    <x v="1"/>
    <x v="4"/>
  </r>
  <r>
    <x v="5"/>
    <x v="4"/>
    <s v="Погрузка"/>
    <s v="Архив"/>
    <n v="4800"/>
    <x v="5"/>
    <d v="2025-10-14T07:30:00"/>
    <d v="2025-10-15T21:20:00"/>
    <d v="2025-10-18T04:10:00"/>
    <x v="0"/>
    <x v="1"/>
    <x v="0"/>
    <s v="Бюро Веритас "/>
    <m/>
    <n v="4779.5"/>
    <s v="Волго-Дон 5079 ИМО 8852784/45948"/>
    <x v="0"/>
    <x v="0"/>
    <x v="0"/>
    <x v="0"/>
  </r>
  <r>
    <x v="0"/>
    <x v="5"/>
    <s v="Догрузка2"/>
    <s v="Архив"/>
    <n v="600"/>
    <x v="6"/>
    <d v="2025-10-19T16:30:00"/>
    <d v="2025-10-19T17:30:00"/>
    <d v="2025-10-20T03:50:00"/>
    <x v="5"/>
    <x v="0"/>
    <x v="0"/>
    <s v="Бюро Веритас "/>
    <n v="2567.7840000000001"/>
    <n v="3164.0230000000001"/>
    <s v="т/х Дон Стар 6 ИМО 8951396/45950"/>
    <x v="0"/>
    <x v="0"/>
    <x v="1"/>
    <x v="5"/>
  </r>
  <r>
    <x v="6"/>
    <x v="3"/>
    <s v="Погрузка"/>
    <s v="Архив"/>
    <n v="3300"/>
    <x v="7"/>
    <d v="2025-10-22T13:30:00"/>
    <d v="2025-10-23T00:15:00"/>
    <d v="2025-10-23T21:55:00"/>
    <x v="6"/>
    <x v="0"/>
    <x v="0"/>
    <s v="Котекна"/>
    <m/>
    <n v="3221.4090000000001"/>
    <s v="т/х Дон Стар 1 ИМО 8866735/45953"/>
    <x v="0"/>
    <x v="0"/>
    <x v="1"/>
    <x v="6"/>
  </r>
  <r>
    <x v="7"/>
    <x v="5"/>
    <s v="Погрузка"/>
    <s v="Архив"/>
    <n v="3300"/>
    <x v="8"/>
    <d v="2025-10-21T05:50:00"/>
    <d v="2025-10-22T01:10:00"/>
    <d v="2025-10-22T22:30:00"/>
    <x v="4"/>
    <x v="0"/>
    <x v="0"/>
    <s v="Котекна"/>
    <m/>
    <n v="3237.9059999999999"/>
    <s v="т/х Дон Стар 5 ИМО 8955469/45952"/>
    <x v="0"/>
    <x v="0"/>
    <x v="1"/>
    <x v="4"/>
  </r>
  <r>
    <x v="0"/>
    <x v="0"/>
    <s v="Погрузка"/>
    <s v="Архив"/>
    <n v="2500"/>
    <x v="9"/>
    <d v="2025-10-15T21:00:00"/>
    <d v="2025-10-15T22:00:00"/>
    <d v="2025-10-16T20:00:00"/>
    <x v="7"/>
    <x v="0"/>
    <x v="0"/>
    <s v="Бюро Веритас "/>
    <m/>
    <n v="2404.9340000000002"/>
    <s v="т/х Дон Стар 6 ИМО 8951396/45946"/>
    <x v="0"/>
    <x v="0"/>
    <x v="0"/>
    <x v="7"/>
  </r>
  <r>
    <x v="5"/>
    <x v="6"/>
    <s v="Погрузка"/>
    <s v="Архив"/>
    <n v="4750"/>
    <x v="10"/>
    <m/>
    <d v="2025-10-24T18:45:00"/>
    <d v="2025-10-26T08:50:00"/>
    <x v="3"/>
    <x v="0"/>
    <x v="0"/>
    <s v="Котекна"/>
    <m/>
    <n v="4779.2160000000003"/>
    <s v="Волго-Дон 5079 ИМО 8852784/45956"/>
    <x v="0"/>
    <x v="0"/>
    <x v="1"/>
    <x v="3"/>
  </r>
  <r>
    <x v="0"/>
    <x v="6"/>
    <s v="Погрузка"/>
    <s v="Архив"/>
    <n v="3300"/>
    <x v="11"/>
    <d v="2025-10-24T13:35:00"/>
    <d v="2025-10-26T16:40:00"/>
    <d v="2025-10-27T10:30:00"/>
    <x v="8"/>
    <x v="0"/>
    <x v="0"/>
    <s v="Котекна"/>
    <m/>
    <n v="3112.4859999999999"/>
    <s v="т/х Дон Стар 6 ИМО 8951396/45957"/>
    <x v="0"/>
    <x v="0"/>
    <x v="2"/>
    <x v="8"/>
  </r>
  <r>
    <x v="2"/>
    <x v="3"/>
    <s v="Догрузка1"/>
    <s v="Архив"/>
    <n v="1000"/>
    <x v="12"/>
    <d v="2025-10-26T18:00:00"/>
    <d v="2025-10-27T12:40:00"/>
    <d v="2025-10-27T18:10:00"/>
    <x v="8"/>
    <x v="0"/>
    <x v="0"/>
    <s v="Котекна"/>
    <n v="3001.3359999999998"/>
    <n v="4050.4749999999995"/>
    <s v="т/х Дон Стар 3 ИМО 7911507/45957"/>
    <x v="0"/>
    <x v="0"/>
    <x v="2"/>
    <x v="8"/>
  </r>
  <r>
    <x v="8"/>
    <x v="3"/>
    <s v="Погрузка"/>
    <s v="Архив"/>
    <n v="3300"/>
    <x v="13"/>
    <d v="2025-10-29T21:20:00"/>
    <d v="2025-10-29T23:45:00"/>
    <d v="2025-10-31T00:40:00"/>
    <x v="9"/>
    <x v="3"/>
    <x v="0"/>
    <s v="СЖС"/>
    <m/>
    <n v="3202.058"/>
    <s v="т/х Дон Стар 7 ИМО 8844153/45961"/>
    <x v="0"/>
    <x v="0"/>
    <x v="2"/>
    <x v="9"/>
  </r>
  <r>
    <x v="7"/>
    <x v="5"/>
    <s v="Погрузка"/>
    <s v="Архив"/>
    <n v="3300"/>
    <x v="14"/>
    <d v="2025-10-31T09:40:00"/>
    <d v="2025-11-01T13:05:00"/>
    <s v=" 03.11.25 4:45"/>
    <x v="10"/>
    <x v="3"/>
    <x v="0"/>
    <s v="СЖС"/>
    <m/>
    <n v="3000.3789999999999"/>
    <s v="т/х Дон Стар 5 ИМО 8955469/45964"/>
    <x v="0"/>
    <x v="1"/>
    <x v="3"/>
    <x v="10"/>
  </r>
  <r>
    <x v="1"/>
    <x v="6"/>
    <s v="Погрузка"/>
    <s v="Архив"/>
    <n v="4050"/>
    <x v="15"/>
    <d v="2025-10-29T16:30:00"/>
    <d v="2025-10-30T18:25:00"/>
    <d v="2025-11-01T01:55:00"/>
    <x v="11"/>
    <x v="3"/>
    <x v="0"/>
    <s v="СЖС"/>
    <m/>
    <n v="4012.5459999999998"/>
    <s v="т/х Дон Стар 4 ИМО 7911478/45962"/>
    <x v="0"/>
    <x v="1"/>
    <x v="2"/>
    <x v="11"/>
  </r>
  <r>
    <x v="3"/>
    <x v="7"/>
    <s v="Догрузка1"/>
    <s v="Архив"/>
    <n v="1700"/>
    <x v="16"/>
    <d v="2025-10-30T12:00:00"/>
    <d v="2025-10-30T14:00:00"/>
    <d v="2025-10-30T23:10:00"/>
    <x v="12"/>
    <x v="0"/>
    <x v="0"/>
    <s v="Котекна"/>
    <n v="1457.1780000000001"/>
    <n v="3114.8069999999998"/>
    <s v="т/х Дон Стар 8 ИМО 8884957/45960"/>
    <x v="0"/>
    <x v="0"/>
    <x v="2"/>
    <x v="12"/>
  </r>
  <r>
    <x v="6"/>
    <x v="3"/>
    <s v="Погрузка"/>
    <s v="Архив"/>
    <n v="3300"/>
    <x v="17"/>
    <d v="2025-10-30T10:25:00"/>
    <d v="2025-10-31T23:40:00"/>
    <s v=" 02.11.25 7:10"/>
    <x v="13"/>
    <x v="4"/>
    <x v="1"/>
    <s v="СЖС"/>
    <m/>
    <n v="3300.07"/>
    <s v="т/х Дон Стар 1 ИМО 8866735/45963"/>
    <x v="0"/>
    <x v="1"/>
    <x v="2"/>
    <x v="13"/>
  </r>
  <r>
    <x v="5"/>
    <x v="3"/>
    <s v="Погрузка"/>
    <s v="Архив"/>
    <n v="4750"/>
    <x v="18"/>
    <d v="2025-11-02T13:10:00"/>
    <d v="2025-11-05T13:50:00"/>
    <d v="2025-11-06T23:30:00"/>
    <x v="14"/>
    <x v="4"/>
    <x v="1"/>
    <s v="СЖС"/>
    <m/>
    <n v="4781.2579999999998"/>
    <s v="Волго-Дон 5079 ИМО 8852784/45967"/>
    <x v="0"/>
    <x v="1"/>
    <x v="3"/>
    <x v="14"/>
  </r>
  <r>
    <x v="0"/>
    <x v="8"/>
    <s v="Погрузка"/>
    <s v="Архив"/>
    <n v="3300"/>
    <x v="19"/>
    <d v="2025-11-03T01:40:00"/>
    <d v="2025-11-04T15:50:00"/>
    <s v=" 05.11.25 22:00"/>
    <x v="15"/>
    <x v="4"/>
    <x v="1"/>
    <s v="СЖС"/>
    <m/>
    <n v="3256.3449999999998"/>
    <s v="т/х Дон Стар 6 ИМО 8951396/45966"/>
    <x v="0"/>
    <x v="1"/>
    <x v="3"/>
    <x v="15"/>
  </r>
  <r>
    <x v="2"/>
    <x v="3"/>
    <s v="Погрузка"/>
    <s v="Архив"/>
    <n v="4050"/>
    <x v="20"/>
    <d v="2025-11-04T18:20:00"/>
    <d v="2025-11-05T18:50:00"/>
    <d v="2025-11-07T03:30:00"/>
    <x v="16"/>
    <x v="5"/>
    <x v="1"/>
    <s v="Топ Фрейм"/>
    <m/>
    <n v="4034.03"/>
    <s v="т/х Дон Стар 3 ИМО 7911507/45968"/>
    <x v="0"/>
    <x v="1"/>
    <x v="3"/>
    <x v="16"/>
  </r>
  <r>
    <x v="3"/>
    <x v="3"/>
    <s v="Погрузка"/>
    <s v="Архив"/>
    <n v="3300"/>
    <x v="21"/>
    <d v="2025-11-07T10:10:00"/>
    <d v="2025-11-09T03:30:00"/>
    <d v="2025-11-10T21:00:00"/>
    <x v="17"/>
    <x v="4"/>
    <x v="1"/>
    <s v="СЖС"/>
    <m/>
    <n v="3197.1990000000001"/>
    <s v="т/х Дон Стар 8 ИМО 8884957/45971"/>
    <x v="0"/>
    <x v="1"/>
    <x v="4"/>
    <x v="17"/>
  </r>
  <r>
    <x v="8"/>
    <x v="9"/>
    <s v="Погрузка"/>
    <s v="Архив"/>
    <n v="3300"/>
    <x v="22"/>
    <d v="2025-11-07T09:00:00"/>
    <d v="2025-11-09T11:30:00"/>
    <d v="2025-11-09T22:10:00"/>
    <x v="18"/>
    <x v="3"/>
    <x v="0"/>
    <s v="СЖС"/>
    <m/>
    <n v="3259.5410000000002"/>
    <s v="т/х Дон Стар 7 ИМО 8844153/45970"/>
    <x v="0"/>
    <x v="1"/>
    <x v="3"/>
    <x v="18"/>
  </r>
  <r>
    <x v="1"/>
    <x v="8"/>
    <s v="Погрузка"/>
    <s v="Архив"/>
    <n v="4000"/>
    <x v="23"/>
    <d v="2025-11-08T20:00:00"/>
    <d v="2025-11-09T13:50:00"/>
    <d v="2025-11-13T11:50:00"/>
    <x v="19"/>
    <x v="4"/>
    <x v="1"/>
    <s v="СЖС"/>
    <m/>
    <n v="4003.66"/>
    <s v="т/х Дон Стар 4 ИМО 7911478/45974"/>
    <x v="0"/>
    <x v="1"/>
    <x v="4"/>
    <x v="19"/>
  </r>
  <r>
    <x v="4"/>
    <x v="10"/>
    <s v="Погрузка"/>
    <s v="Архив"/>
    <n v="3000"/>
    <x v="24"/>
    <d v="2025-11-06T14:00:00"/>
    <d v="2025-11-06T17:45:00"/>
    <d v="2025-11-08T01:00:00"/>
    <x v="20"/>
    <x v="3"/>
    <x v="0"/>
    <s v="СЖС"/>
    <m/>
    <n v="3046.56"/>
    <s v="т/х Герой И.И.Петров//нб Балтис ИМО  2186884/45969"/>
    <x v="0"/>
    <x v="1"/>
    <x v="3"/>
    <x v="20"/>
  </r>
  <r>
    <x v="4"/>
    <x v="7"/>
    <s v="Догрузка1"/>
    <s v="Архив"/>
    <n v="800"/>
    <x v="25"/>
    <d v="2025-11-09T02:30:00"/>
    <d v="2025-11-09T06:00:00"/>
    <d v="2025-11-09T23:15:00"/>
    <x v="18"/>
    <x v="3"/>
    <x v="0"/>
    <s v="СЖС"/>
    <n v="3046.56"/>
    <n v="3692.098"/>
    <s v="т/х Герой И.И.Петров//нб Балтис ИМО  2186884/45970"/>
    <x v="0"/>
    <x v="1"/>
    <x v="3"/>
    <x v="18"/>
  </r>
  <r>
    <x v="7"/>
    <x v="5"/>
    <s v="Погрузка"/>
    <s v="Архив"/>
    <n v="3300"/>
    <x v="26"/>
    <d v="2025-11-13T08:45:00"/>
    <d v="2025-11-14T03:10:00"/>
    <d v="2025-11-15T00:20:00"/>
    <x v="21"/>
    <x v="3"/>
    <x v="0"/>
    <s v="СЖС"/>
    <m/>
    <n v="3199.0520000000001"/>
    <s v="т/х Дон Стар 5 ИМО 8955469/45976"/>
    <x v="0"/>
    <x v="1"/>
    <x v="4"/>
    <x v="21"/>
  </r>
  <r>
    <x v="6"/>
    <x v="3"/>
    <s v="Погрузка"/>
    <s v="Архив"/>
    <n v="3300"/>
    <x v="27"/>
    <d v="2025-11-13T07:00:00"/>
    <d v="2025-11-14T14:00:00"/>
    <d v="2025-11-15T23:40:00"/>
    <x v="21"/>
    <x v="4"/>
    <x v="1"/>
    <s v="СЖС"/>
    <m/>
    <n v="3241.2080000000001"/>
    <s v="т/х Дон Стар 1 ИМО 8866735/45976"/>
    <x v="0"/>
    <x v="1"/>
    <x v="4"/>
    <x v="21"/>
  </r>
  <r>
    <x v="0"/>
    <x v="3"/>
    <s v="Погрузка"/>
    <s v="Архив"/>
    <n v="3300"/>
    <x v="28"/>
    <d v="2025-11-16T06:45:00"/>
    <d v="2025-11-16T08:30:00"/>
    <d v="2025-11-18T08:40:00"/>
    <x v="22"/>
    <x v="3"/>
    <x v="0"/>
    <s v="СЖС"/>
    <m/>
    <n v="3248.78"/>
    <s v="т/х Дон Стар 6 ИМО 8951396/45979"/>
    <x v="0"/>
    <x v="1"/>
    <x v="5"/>
    <x v="22"/>
  </r>
  <r>
    <x v="5"/>
    <x v="11"/>
    <s v="Погрузка"/>
    <s v="Архив"/>
    <n v="4750"/>
    <x v="29"/>
    <m/>
    <d v="2025-11-14T20:55:00"/>
    <d v="2025-11-15T11:55:00"/>
    <x v="21"/>
    <x v="3"/>
    <x v="0"/>
    <s v="СЖС"/>
    <m/>
    <n v="4780.7449999999999"/>
    <s v="Волго-Дон 5079 ИМО 8852784/45976"/>
    <x v="0"/>
    <x v="1"/>
    <x v="4"/>
    <x v="21"/>
  </r>
  <r>
    <x v="8"/>
    <x v="8"/>
    <s v="Погрузка"/>
    <s v="Архив"/>
    <n v="2800"/>
    <x v="30"/>
    <d v="2025-11-18T10:20:00"/>
    <d v="2025-11-19T12:25:00"/>
    <s v=" 20.11.2025 21:20"/>
    <x v="23"/>
    <x v="4"/>
    <x v="1"/>
    <s v="СЖС"/>
    <m/>
    <n v="2799.82"/>
    <s v="т/х Дон Стар 7 ИМО 8844153/45981"/>
    <x v="0"/>
    <x v="1"/>
    <x v="5"/>
    <x v="23"/>
  </r>
  <r>
    <x v="3"/>
    <x v="11"/>
    <s v="Погрузка"/>
    <s v="Архив"/>
    <n v="3300"/>
    <x v="31"/>
    <d v="2025-11-18T11:00:00"/>
    <d v="2025-11-20T16:15:00"/>
    <d v="2025-11-21T04:30:00"/>
    <x v="24"/>
    <x v="3"/>
    <x v="0"/>
    <s v="СЖС"/>
    <m/>
    <n v="3300.5419999999999"/>
    <s v="т/х Дон Стар 8 ИМО 8884957/45982"/>
    <x v="0"/>
    <x v="1"/>
    <x v="5"/>
    <x v="24"/>
  </r>
  <r>
    <x v="1"/>
    <x v="1"/>
    <s v="Погрузка"/>
    <s v="Архив"/>
    <n v="4050"/>
    <x v="32"/>
    <d v="2025-11-18T16:20:00"/>
    <d v="2025-11-20T19:00:00"/>
    <s v=" 22.11.25 14:20"/>
    <x v="25"/>
    <x v="3"/>
    <x v="0"/>
    <s v="СЖС"/>
    <m/>
    <n v="4025.2979999999998"/>
    <s v="т/х Дон Стар 4 ИМО 7911478/45983"/>
    <x v="0"/>
    <x v="1"/>
    <x v="5"/>
    <x v="25"/>
  </r>
  <r>
    <x v="6"/>
    <x v="5"/>
    <s v="Погрузка"/>
    <s v="Архив"/>
    <n v="3300"/>
    <x v="33"/>
    <d v="2025-11-24T03:00:00"/>
    <d v="2025-11-24T05:20:00"/>
    <d v="2025-11-25T14:00:00"/>
    <x v="26"/>
    <x v="3"/>
    <x v="0"/>
    <s v="СЖС"/>
    <m/>
    <n v="3309.6550000000002"/>
    <s v="т/х Дон Стар 1 ИМО 8866735/45986"/>
    <x v="0"/>
    <x v="1"/>
    <x v="6"/>
    <x v="26"/>
  </r>
  <r>
    <x v="0"/>
    <x v="3"/>
    <s v="Погрузка"/>
    <s v="Архив"/>
    <n v="2300"/>
    <x v="34"/>
    <d v="2025-11-24T09:25:00"/>
    <d v="2025-11-25T08:30:00"/>
    <d v="2025-11-26T05:40:00"/>
    <x v="27"/>
    <x v="3"/>
    <x v="0"/>
    <s v="СЖС"/>
    <m/>
    <n v="2322.904"/>
    <s v="т/х Дон Стар 6 ИМО 8951396/45987"/>
    <x v="0"/>
    <x v="1"/>
    <x v="6"/>
    <x v="27"/>
  </r>
  <r>
    <x v="0"/>
    <x v="5"/>
    <s v="Догрузка1"/>
    <s v="Архив"/>
    <n v="1000"/>
    <x v="35"/>
    <d v="2025-11-26T23:45:00"/>
    <d v="2025-11-27T00:35:00"/>
    <d v="2025-11-27T11:40:00"/>
    <x v="28"/>
    <x v="3"/>
    <x v="0"/>
    <s v="СЖС"/>
    <m/>
    <n v="928.77200000000005"/>
    <s v="т/х Дон Стар 6 ИМО 8951396/45988"/>
    <x v="0"/>
    <x v="1"/>
    <x v="6"/>
    <x v="28"/>
  </r>
  <r>
    <x v="5"/>
    <x v="8"/>
    <s v="Погрузка"/>
    <s v="Архив"/>
    <n v="4750"/>
    <x v="36"/>
    <m/>
    <d v="2025-11-26T20:20:00"/>
    <d v="2025-11-28T21:20:00"/>
    <x v="29"/>
    <x v="3"/>
    <x v="0"/>
    <s v="СЖС"/>
    <m/>
    <n v="4775.8459999999995"/>
    <s v="Волго-Дон 5079 ИМО 8852784/45989"/>
    <x v="0"/>
    <x v="1"/>
    <x v="6"/>
    <x v="29"/>
  </r>
  <r>
    <x v="3"/>
    <x v="8"/>
    <s v="Погрузка"/>
    <s v="Архив"/>
    <n v="1200"/>
    <x v="37"/>
    <d v="2025-11-29T18:40:00"/>
    <d v="2025-11-30T12:35:00"/>
    <d v="2025-12-01T15:45:00"/>
    <x v="30"/>
    <x v="3"/>
    <x v="0"/>
    <s v="СЖС"/>
    <m/>
    <n v="1144.855"/>
    <s v="т/х Дон Стар 8 ИМО 8884957/45992"/>
    <x v="0"/>
    <x v="2"/>
    <x v="7"/>
    <x v="30"/>
  </r>
  <r>
    <x v="3"/>
    <x v="12"/>
    <s v="Догрузка1"/>
    <s v="Архив"/>
    <n v="2100"/>
    <x v="38"/>
    <d v="2025-12-02T10:50:00"/>
    <d v="2025-12-02T13:25:00"/>
    <d v="2025-12-03T01:30:00"/>
    <x v="31"/>
    <x v="3"/>
    <x v="0"/>
    <s v="СЖС"/>
    <n v="1144.855"/>
    <n v="3225.2489999999998"/>
    <s v="т/х Дон Стар 8 ИМО 8884957/45994"/>
    <x v="0"/>
    <x v="2"/>
    <x v="7"/>
    <x v="31"/>
  </r>
  <r>
    <x v="8"/>
    <x v="5"/>
    <s v="Погрузка"/>
    <s v="Архив"/>
    <n v="3300"/>
    <x v="39"/>
    <d v="2025-11-29T03:20:00"/>
    <d v="2025-12-01T05:30:00"/>
    <d v="2025-12-02T14:20:00"/>
    <x v="32"/>
    <x v="3"/>
    <x v="0"/>
    <s v="СЖС"/>
    <m/>
    <n v="3028.7240000000002"/>
    <s v="т/х Дон Стар 7 ИМО 8844153/45993"/>
    <x v="0"/>
    <x v="2"/>
    <x v="7"/>
    <x v="32"/>
  </r>
  <r>
    <x v="6"/>
    <x v="12"/>
    <s v="Погрузка"/>
    <s v="Архив"/>
    <n v="3300"/>
    <x v="40"/>
    <d v="2025-12-01T12:20:00"/>
    <d v="2025-12-02T13:05:00"/>
    <d v="2025-12-03T10:35:00"/>
    <x v="31"/>
    <x v="3"/>
    <x v="0"/>
    <s v="СЖС"/>
    <m/>
    <n v="3300.42"/>
    <s v="т/х Дон Стар 1 ИМО 8866735/45994"/>
    <x v="0"/>
    <x v="2"/>
    <x v="7"/>
    <x v="31"/>
  </r>
  <r>
    <x v="1"/>
    <x v="12"/>
    <s v="Погрузка"/>
    <s v="Архив"/>
    <n v="4000"/>
    <x v="41"/>
    <d v="2025-12-01T21:00:00"/>
    <m/>
    <m/>
    <x v="33"/>
    <x v="3"/>
    <x v="0"/>
    <s v="СЖС"/>
    <m/>
    <n v="4010.0010000000002"/>
    <s v="т/х Дон Стар 4 ИМО 7911478/45995"/>
    <x v="0"/>
    <x v="2"/>
    <x v="7"/>
    <x v="33"/>
  </r>
  <r>
    <x v="0"/>
    <x v="12"/>
    <s v="Погрузка"/>
    <s v="Архив"/>
    <n v="3300"/>
    <x v="42"/>
    <m/>
    <m/>
    <m/>
    <x v="34"/>
    <x v="3"/>
    <x v="0"/>
    <s v="СЖС"/>
    <m/>
    <n v="2901.6239999999998"/>
    <s v="т/х Дон Стар 6 ИМО 8951396/45996"/>
    <x v="0"/>
    <x v="2"/>
    <x v="7"/>
    <x v="34"/>
  </r>
  <r>
    <x v="7"/>
    <x v="12"/>
    <s v="Погрузка"/>
    <s v="Архив"/>
    <n v="3300"/>
    <x v="43"/>
    <m/>
    <m/>
    <m/>
    <x v="35"/>
    <x v="3"/>
    <x v="0"/>
    <s v="СЖС"/>
    <m/>
    <n v="2788.9839999999999"/>
    <s v="т/х Дон Стар 5 ИМО 8955469/45997"/>
    <x v="0"/>
    <x v="2"/>
    <x v="7"/>
    <x v="35"/>
  </r>
  <r>
    <x v="5"/>
    <x v="12"/>
    <s v="Погрузка"/>
    <s v="Архив"/>
    <n v="4750"/>
    <x v="44"/>
    <m/>
    <m/>
    <m/>
    <x v="36"/>
    <x v="3"/>
    <x v="0"/>
    <s v="СЖС"/>
    <m/>
    <n v="4812.326"/>
    <s v="Волго-Дон 5079 ИМО 8852784/45999"/>
    <x v="0"/>
    <x v="2"/>
    <x v="8"/>
    <x v="36"/>
  </r>
  <r>
    <x v="8"/>
    <x v="12"/>
    <s v="Погрузка"/>
    <s v="Архив"/>
    <n v="3300"/>
    <x v="45"/>
    <m/>
    <m/>
    <m/>
    <x v="37"/>
    <x v="3"/>
    <x v="0"/>
    <s v="СЖС"/>
    <m/>
    <n v="3214.2060000000001"/>
    <s v="т/х Дон Стар 7 ИМО 8844153/46003"/>
    <x v="0"/>
    <x v="2"/>
    <x v="8"/>
    <x v="37"/>
  </r>
  <r>
    <x v="9"/>
    <x v="13"/>
    <s v="Погрузка"/>
    <s v="Архив"/>
    <n v="5000"/>
    <x v="46"/>
    <m/>
    <m/>
    <m/>
    <x v="37"/>
    <x v="6"/>
    <x v="0"/>
    <s v="Топ Фрейм"/>
    <m/>
    <n v="5007.8"/>
    <s v=" т/х Ugah Confidence/46003"/>
    <x v="0"/>
    <x v="2"/>
    <x v="8"/>
    <x v="37"/>
  </r>
  <r>
    <x v="3"/>
    <x v="5"/>
    <s v="Погрузка"/>
    <s v="Архив"/>
    <n v="3300"/>
    <x v="47"/>
    <m/>
    <m/>
    <m/>
    <x v="38"/>
    <x v="3"/>
    <x v="0"/>
    <s v="СЖС"/>
    <m/>
    <n v="3269.0430000000001"/>
    <s v="т/х Дон Стар 8 ИМО 8884957/46007"/>
    <x v="0"/>
    <x v="2"/>
    <x v="9"/>
    <x v="38"/>
  </r>
  <r>
    <x v="0"/>
    <x v="12"/>
    <s v="Погрузка"/>
    <s v="Архив"/>
    <n v="3300"/>
    <x v="48"/>
    <m/>
    <m/>
    <m/>
    <x v="39"/>
    <x v="3"/>
    <x v="0"/>
    <s v="СЖС"/>
    <m/>
    <n v="3249.9639999999999"/>
    <s v="т/х Дон Стар 6 ИМО 8951396/46009"/>
    <x v="0"/>
    <x v="2"/>
    <x v="9"/>
    <x v="39"/>
  </r>
  <r>
    <x v="1"/>
    <x v="12"/>
    <s v="Погрузка"/>
    <s v="Архив"/>
    <n v="4050"/>
    <x v="49"/>
    <m/>
    <m/>
    <m/>
    <x v="39"/>
    <x v="3"/>
    <x v="0"/>
    <s v="СЖС"/>
    <m/>
    <n v="4012.3980000000001"/>
    <s v="т/х Дон Стар 4 ИМО 7911478/46009"/>
    <x v="0"/>
    <x v="2"/>
    <x v="9"/>
    <x v="39"/>
  </r>
  <r>
    <x v="7"/>
    <x v="12"/>
    <s v="Погрузка"/>
    <s v="Архив"/>
    <n v="3300"/>
    <x v="50"/>
    <m/>
    <m/>
    <m/>
    <x v="40"/>
    <x v="3"/>
    <x v="0"/>
    <s v="СЖС"/>
    <m/>
    <n v="3179.6790000000001"/>
    <s v="т/х Дон Стар 5 ИМО 8955469/46011"/>
    <x v="0"/>
    <x v="2"/>
    <x v="9"/>
    <x v="40"/>
  </r>
  <r>
    <x v="6"/>
    <x v="12"/>
    <s v="Погрузка"/>
    <s v="Архив"/>
    <n v="3300"/>
    <x v="51"/>
    <m/>
    <m/>
    <m/>
    <x v="41"/>
    <x v="3"/>
    <x v="0"/>
    <s v="СЖС"/>
    <m/>
    <n v="3300.29"/>
    <s v="т/х Дон Стар 1 ИМО 8866735/46013"/>
    <x v="0"/>
    <x v="2"/>
    <x v="10"/>
    <x v="41"/>
  </r>
  <r>
    <x v="8"/>
    <x v="12"/>
    <s v="Погрузка"/>
    <s v="Архив"/>
    <n v="3300"/>
    <x v="52"/>
    <m/>
    <m/>
    <m/>
    <x v="42"/>
    <x v="3"/>
    <x v="0"/>
    <s v="СЖС"/>
    <m/>
    <n v="3209.933"/>
    <s v="т/х Дон Стар 7 ИМО 8844153/46017"/>
    <x v="0"/>
    <x v="2"/>
    <x v="10"/>
    <x v="42"/>
  </r>
  <r>
    <x v="3"/>
    <x v="12"/>
    <s v="Погрузка"/>
    <s v="Архив"/>
    <n v="3300"/>
    <x v="53"/>
    <m/>
    <m/>
    <m/>
    <x v="43"/>
    <x v="3"/>
    <x v="0"/>
    <s v="СЖС"/>
    <m/>
    <n v="3299.9589999999998"/>
    <s v="т/х Дон Стар 8 ИМО 8884957/46018"/>
    <x v="0"/>
    <x v="2"/>
    <x v="10"/>
    <x v="43"/>
  </r>
  <r>
    <x v="5"/>
    <x v="12"/>
    <s v="Погрузка"/>
    <s v="Архив"/>
    <n v="4750"/>
    <x v="54"/>
    <m/>
    <m/>
    <m/>
    <x v="44"/>
    <x v="3"/>
    <x v="0"/>
    <s v="СЖС"/>
    <m/>
    <n v="4756.8789999999999"/>
    <s v="Волго-Дон 5079 ИМО 8852784/46019"/>
    <x v="0"/>
    <x v="2"/>
    <x v="10"/>
    <x v="44"/>
  </r>
  <r>
    <x v="10"/>
    <x v="8"/>
    <s v="Погрузка"/>
    <s v="Архив"/>
    <n v="4000"/>
    <x v="55"/>
    <m/>
    <m/>
    <m/>
    <x v="45"/>
    <x v="3"/>
    <x v="0"/>
    <s v="СЖС"/>
    <m/>
    <n v="3900"/>
    <s v="т/х Дон Стар 2 ИМО 7911480/46020"/>
    <x v="0"/>
    <x v="2"/>
    <x v="11"/>
    <x v="45"/>
  </r>
  <r>
    <x v="7"/>
    <x v="12"/>
    <s v="Погрузка"/>
    <s v="Архив"/>
    <n v="3300"/>
    <x v="56"/>
    <m/>
    <m/>
    <m/>
    <x v="46"/>
    <x v="3"/>
    <x v="0"/>
    <s v="СЖС"/>
    <m/>
    <n v="3300.549"/>
    <s v="т/х Дон Стар 5 ИМО 8955469/46022"/>
    <x v="0"/>
    <x v="2"/>
    <x v="11"/>
    <x v="46"/>
  </r>
  <r>
    <x v="0"/>
    <x v="12"/>
    <s v="Погрузка"/>
    <s v="Архив"/>
    <n v="3300"/>
    <x v="57"/>
    <m/>
    <m/>
    <m/>
    <x v="47"/>
    <x v="3"/>
    <x v="0"/>
    <s v="СЖС"/>
    <m/>
    <n v="3251.2559999999999"/>
    <s v="т/х Дон Стар 6 ИМО 8951396/46025"/>
    <x v="1"/>
    <x v="3"/>
    <x v="11"/>
    <x v="47"/>
  </r>
  <r>
    <x v="11"/>
    <x v="12"/>
    <s v="Погрузка"/>
    <s v="Архив"/>
    <n v="4200"/>
    <x v="58"/>
    <m/>
    <m/>
    <m/>
    <x v="48"/>
    <x v="3"/>
    <x v="0"/>
    <s v="СЖС"/>
    <m/>
    <n v="4196.6220000000003"/>
    <s v="т/х Волго-Дон 217 ИМО 8946377/46021"/>
    <x v="0"/>
    <x v="2"/>
    <x v="11"/>
    <x v="48"/>
  </r>
  <r>
    <x v="12"/>
    <x v="12"/>
    <s v="Погрузка"/>
    <s v="Архив"/>
    <n v="4200"/>
    <x v="59"/>
    <m/>
    <m/>
    <m/>
    <x v="49"/>
    <x v="3"/>
    <x v="0"/>
    <s v="СЖС"/>
    <m/>
    <n v="4159.9269999999997"/>
    <s v="т/х В.Успенский   ИМО 8946389/46030"/>
    <x v="1"/>
    <x v="3"/>
    <x v="12"/>
    <x v="49"/>
  </r>
  <r>
    <x v="2"/>
    <x v="8"/>
    <s v="Погрузка"/>
    <s v="Архив"/>
    <n v="4000"/>
    <x v="60"/>
    <m/>
    <m/>
    <m/>
    <x v="47"/>
    <x v="6"/>
    <x v="1"/>
    <m/>
    <m/>
    <n v="3992.37"/>
    <s v="т/х Дон Стар 3 ИМО 7911507/46025"/>
    <x v="1"/>
    <x v="3"/>
    <x v="11"/>
    <x v="47"/>
  </r>
  <r>
    <x v="13"/>
    <x v="8"/>
    <s v="Погрузка"/>
    <s v="Архив"/>
    <n v="5000"/>
    <x v="61"/>
    <m/>
    <m/>
    <m/>
    <x v="46"/>
    <x v="7"/>
    <x v="0"/>
    <m/>
    <m/>
    <n v="4750.28"/>
    <s v=" т/х Н.Мешков ИМО 8862507/46022"/>
    <x v="0"/>
    <x v="2"/>
    <x v="11"/>
    <x v="46"/>
  </r>
  <r>
    <x v="1"/>
    <x v="12"/>
    <s v="Погрузка"/>
    <s v="Архив"/>
    <n v="4000"/>
    <x v="62"/>
    <m/>
    <m/>
    <m/>
    <x v="50"/>
    <x v="3"/>
    <x v="0"/>
    <s v="СЖС"/>
    <m/>
    <n v="4055.2460000000001"/>
    <s v="т/х Дон Стар 4 ИМО 7911478/46035"/>
    <x v="1"/>
    <x v="3"/>
    <x v="13"/>
    <x v="50"/>
  </r>
  <r>
    <x v="6"/>
    <x v="12"/>
    <s v="Погрузка"/>
    <s v="Архив"/>
    <n v="3300"/>
    <x v="63"/>
    <m/>
    <m/>
    <m/>
    <x v="51"/>
    <x v="3"/>
    <x v="0"/>
    <s v="СЖС"/>
    <m/>
    <n v="3103.1849999999999"/>
    <s v="т/х Дон Стар 1 ИМО 8866735/46039"/>
    <x v="1"/>
    <x v="3"/>
    <x v="13"/>
    <x v="51"/>
  </r>
  <r>
    <x v="8"/>
    <x v="8"/>
    <s v="Погрузка"/>
    <s v="Архив"/>
    <n v="3300"/>
    <x v="64"/>
    <m/>
    <m/>
    <m/>
    <x v="50"/>
    <x v="7"/>
    <x v="0"/>
    <s v="СЖС"/>
    <m/>
    <n v="3029.04"/>
    <s v="т/х Дон Стар 7 ИМО 8844153/46035"/>
    <x v="1"/>
    <x v="3"/>
    <x v="13"/>
    <x v="50"/>
  </r>
  <r>
    <x v="10"/>
    <x v="9"/>
    <s v="Погрузка"/>
    <s v="Архив"/>
    <n v="4000"/>
    <x v="65"/>
    <m/>
    <m/>
    <m/>
    <x v="50"/>
    <x v="3"/>
    <x v="0"/>
    <m/>
    <m/>
    <n v="4011.3440000000001"/>
    <s v="т/х Дон Стар 2 ИМО 7911480/46035"/>
    <x v="1"/>
    <x v="3"/>
    <x v="13"/>
    <x v="50"/>
  </r>
  <r>
    <x v="7"/>
    <x v="8"/>
    <s v="Погрузка"/>
    <s v="Архив"/>
    <n v="3300"/>
    <x v="66"/>
    <m/>
    <m/>
    <m/>
    <x v="52"/>
    <x v="3"/>
    <x v="0"/>
    <m/>
    <m/>
    <n v="3008.0459999999998"/>
    <s v="т/х Дон Стар 5 ИМО 8955469/46049"/>
    <x v="1"/>
    <x v="3"/>
    <x v="14"/>
    <x v="52"/>
  </r>
  <r>
    <x v="0"/>
    <x v="4"/>
    <s v="Погрузка"/>
    <s v="Архив"/>
    <n v="3300"/>
    <x v="67"/>
    <m/>
    <m/>
    <m/>
    <x v="53"/>
    <x v="3"/>
    <x v="0"/>
    <m/>
    <m/>
    <n v="3080.8"/>
    <s v="т/х Дон Стар 6 ИМО 8951396/46038"/>
    <x v="1"/>
    <x v="3"/>
    <x v="13"/>
    <x v="53"/>
  </r>
  <r>
    <x v="14"/>
    <x v="13"/>
    <s v="Погрузка"/>
    <s v="Архив"/>
    <n v="5500"/>
    <x v="68"/>
    <m/>
    <m/>
    <m/>
    <x v="54"/>
    <x v="6"/>
    <x v="1"/>
    <m/>
    <m/>
    <n v="5267"/>
    <s v=" т/х Волжский 33 ИМО 8955641/46034"/>
    <x v="1"/>
    <x v="3"/>
    <x v="13"/>
    <x v="54"/>
  </r>
  <r>
    <x v="12"/>
    <x v="12"/>
    <s v="Погрузка"/>
    <s v="Архив"/>
    <n v="4200"/>
    <x v="69"/>
    <m/>
    <m/>
    <m/>
    <x v="55"/>
    <x v="3"/>
    <x v="0"/>
    <m/>
    <m/>
    <n v="4300.5600000000004"/>
    <s v="т/х В.Успенский   ИМО 8946389/46054"/>
    <x v="1"/>
    <x v="4"/>
    <x v="14"/>
    <x v="55"/>
  </r>
  <r>
    <x v="1"/>
    <x v="8"/>
    <s v="Погрузка"/>
    <s v="Архив"/>
    <n v="4000"/>
    <x v="70"/>
    <m/>
    <m/>
    <m/>
    <x v="56"/>
    <x v="7"/>
    <x v="0"/>
    <m/>
    <m/>
    <n v="3123.0990000000002"/>
    <s v="т/х Дон Стар 4 ИМО 7911478/46056"/>
    <x v="1"/>
    <x v="4"/>
    <x v="15"/>
    <x v="56"/>
  </r>
  <r>
    <x v="10"/>
    <x v="12"/>
    <s v="Погрузка"/>
    <s v="Архив"/>
    <n v="4000"/>
    <x v="71"/>
    <m/>
    <m/>
    <m/>
    <x v="52"/>
    <x v="3"/>
    <x v="0"/>
    <m/>
    <m/>
    <n v="4001.7570000000001"/>
    <s v="т/х Дон Стар 2 ИМО 7911480/46049"/>
    <x v="1"/>
    <x v="3"/>
    <x v="14"/>
    <x v="52"/>
  </r>
  <r>
    <x v="6"/>
    <x v="13"/>
    <s v="Погрузка"/>
    <s v="Архив"/>
    <n v="3300"/>
    <x v="72"/>
    <m/>
    <m/>
    <m/>
    <x v="57"/>
    <x v="6"/>
    <x v="1"/>
    <m/>
    <m/>
    <n v="3169.5"/>
    <s v="т/х Дон Стар 1 ИМО 8866735/46065"/>
    <x v="1"/>
    <x v="4"/>
    <x v="16"/>
    <x v="57"/>
  </r>
  <r>
    <x v="2"/>
    <x v="14"/>
    <s v="Погрузка"/>
    <s v="Ремонт"/>
    <n v="4000"/>
    <x v="73"/>
    <m/>
    <m/>
    <m/>
    <x v="58"/>
    <x v="3"/>
    <x v="0"/>
    <m/>
    <m/>
    <n v="0"/>
    <s v="т/х Дон Стар 3 ИМО 7911507/"/>
    <x v="2"/>
    <x v="3"/>
    <x v="10"/>
    <x v="58"/>
  </r>
  <r>
    <x v="7"/>
    <x v="12"/>
    <s v="Погрузка"/>
    <s v="Архив"/>
    <n v="3300"/>
    <x v="74"/>
    <m/>
    <m/>
    <m/>
    <x v="59"/>
    <x v="3"/>
    <x v="0"/>
    <m/>
    <m/>
    <n v="3299.5250000000001"/>
    <s v="т/х Дон Стар 5 ИМО 8955469/46067"/>
    <x v="1"/>
    <x v="4"/>
    <x v="16"/>
    <x v="59"/>
  </r>
  <r>
    <x v="0"/>
    <x v="8"/>
    <s v="Погрузка"/>
    <s v="Архив"/>
    <n v="3300"/>
    <x v="75"/>
    <m/>
    <m/>
    <m/>
    <x v="60"/>
    <x v="6"/>
    <x v="0"/>
    <m/>
    <m/>
    <n v="2982.1010000000001"/>
    <s v="т/х Дон Стар 6 ИМО 8951396/46068"/>
    <x v="1"/>
    <x v="4"/>
    <x v="16"/>
    <x v="60"/>
  </r>
  <r>
    <x v="10"/>
    <x v="12"/>
    <s v="Погрузка"/>
    <s v="Архив"/>
    <n v="4000"/>
    <x v="76"/>
    <m/>
    <m/>
    <m/>
    <x v="61"/>
    <x v="3"/>
    <x v="0"/>
    <m/>
    <m/>
    <n v="4034.2849999999999"/>
    <s v="т/х Дон Стар 2 ИМО 7911480/46069"/>
    <x v="1"/>
    <x v="4"/>
    <x v="17"/>
    <x v="61"/>
  </r>
  <r>
    <x v="8"/>
    <x v="12"/>
    <s v="Погрузка"/>
    <s v="Архив"/>
    <n v="3300"/>
    <x v="77"/>
    <m/>
    <m/>
    <m/>
    <x v="62"/>
    <x v="3"/>
    <x v="0"/>
    <m/>
    <m/>
    <n v="3235.8980000000001"/>
    <s v="т/х Дон Стар 7 ИМО 8844153/46077"/>
    <x v="1"/>
    <x v="4"/>
    <x v="18"/>
    <x v="62"/>
  </r>
  <r>
    <x v="11"/>
    <x v="12"/>
    <s v="Погрузка"/>
    <s v="Архив"/>
    <n v="4200"/>
    <x v="78"/>
    <m/>
    <m/>
    <m/>
    <x v="63"/>
    <x v="3"/>
    <x v="0"/>
    <m/>
    <m/>
    <n v="4268.1030000000001"/>
    <s v="т/х Волго-Дон 217 ИМО 8946377/46080"/>
    <x v="1"/>
    <x v="4"/>
    <x v="18"/>
    <x v="63"/>
  </r>
  <r>
    <x v="7"/>
    <x v="8"/>
    <s v="Погрузка"/>
    <s v="Архив"/>
    <n v="3300"/>
    <x v="79"/>
    <m/>
    <m/>
    <m/>
    <x v="64"/>
    <x v="3"/>
    <x v="0"/>
    <m/>
    <m/>
    <n v="3300.1390000000001"/>
    <s v="т/х Дон Стар 5 ИМО 8955469/46082"/>
    <x v="1"/>
    <x v="5"/>
    <x v="18"/>
    <x v="64"/>
  </r>
  <r>
    <x v="15"/>
    <x v="12"/>
    <s v="Погрузка"/>
    <s v="Архив"/>
    <n v="3000"/>
    <x v="80"/>
    <m/>
    <m/>
    <m/>
    <x v="64"/>
    <x v="3"/>
    <x v="0"/>
    <m/>
    <m/>
    <n v="2800.0630000000001"/>
    <s v="т/х Дон 7111420/46082"/>
    <x v="1"/>
    <x v="5"/>
    <x v="18"/>
    <x v="64"/>
  </r>
  <r>
    <x v="10"/>
    <x v="12"/>
    <s v="Погрузка"/>
    <s v="Архив"/>
    <n v="4000"/>
    <x v="81"/>
    <m/>
    <m/>
    <m/>
    <x v="65"/>
    <x v="3"/>
    <x v="0"/>
    <m/>
    <m/>
    <n v="4001.598"/>
    <s v="т/х Дон Стар 2 ИМО 7911480/46081"/>
    <x v="1"/>
    <x v="4"/>
    <x v="18"/>
    <x v="65"/>
  </r>
  <r>
    <x v="1"/>
    <x v="12"/>
    <s v="Погрузка"/>
    <s v="Архив"/>
    <n v="4000"/>
    <x v="82"/>
    <m/>
    <m/>
    <m/>
    <x v="66"/>
    <x v="3"/>
    <x v="0"/>
    <m/>
    <m/>
    <n v="4009.127"/>
    <s v="т/х Дон Стар 4 ИМО 7911478/46083"/>
    <x v="1"/>
    <x v="5"/>
    <x v="19"/>
    <x v="66"/>
  </r>
  <r>
    <x v="16"/>
    <x v="12"/>
    <s v="Погрузка"/>
    <s v="Архив"/>
    <n v="3000"/>
    <x v="83"/>
    <m/>
    <m/>
    <m/>
    <x v="67"/>
    <x v="3"/>
    <x v="0"/>
    <m/>
    <m/>
    <n v="2879.7809999999999"/>
    <s v="т/х Астра Меридиан ИМО8721399/46086"/>
    <x v="1"/>
    <x v="5"/>
    <x v="19"/>
    <x v="67"/>
  </r>
  <r>
    <x v="17"/>
    <x v="12"/>
    <s v="Погрузка"/>
    <s v="Архив"/>
    <n v="3500"/>
    <x v="84"/>
    <m/>
    <m/>
    <m/>
    <x v="68"/>
    <x v="3"/>
    <x v="0"/>
    <m/>
    <m/>
    <n v="3725.46"/>
    <s v="т/х Святой Спиридон ИМО9087104/46089"/>
    <x v="1"/>
    <x v="5"/>
    <x v="19"/>
    <x v="68"/>
  </r>
  <r>
    <x v="12"/>
    <x v="12"/>
    <s v="Погрузка"/>
    <s v="Архив"/>
    <n v="4200"/>
    <x v="85"/>
    <m/>
    <m/>
    <m/>
    <x v="69"/>
    <x v="3"/>
    <x v="0"/>
    <m/>
    <m/>
    <n v="4600.24"/>
    <s v="т/х В.Успенский   ИМО 8946389/46088"/>
    <x v="1"/>
    <x v="5"/>
    <x v="19"/>
    <x v="69"/>
  </r>
  <r>
    <x v="18"/>
    <x v="12"/>
    <s v="Погрузка"/>
    <s v="Архив"/>
    <n v="4800"/>
    <x v="86"/>
    <m/>
    <m/>
    <m/>
    <x v="69"/>
    <x v="3"/>
    <x v="0"/>
    <m/>
    <m/>
    <n v="4350.0519999999997"/>
    <s v="т/х Волго-Дон 5011 ИМО8951310/46088"/>
    <x v="1"/>
    <x v="5"/>
    <x v="19"/>
    <x v="69"/>
  </r>
  <r>
    <x v="8"/>
    <x v="12"/>
    <s v="Погрузка"/>
    <s v="Архив"/>
    <n v="3300"/>
    <x v="87"/>
    <m/>
    <m/>
    <m/>
    <x v="70"/>
    <x v="3"/>
    <x v="0"/>
    <m/>
    <m/>
    <n v="3235.3490000000002"/>
    <s v="т/х Дон Стар 7 ИМО 8844153/46090"/>
    <x v="1"/>
    <x v="5"/>
    <x v="20"/>
    <x v="70"/>
  </r>
  <r>
    <x v="5"/>
    <x v="12"/>
    <s v="Погрузка"/>
    <s v="Архив"/>
    <n v="4800"/>
    <x v="88"/>
    <m/>
    <m/>
    <m/>
    <x v="71"/>
    <x v="3"/>
    <x v="0"/>
    <m/>
    <m/>
    <n v="4751.2169999999996"/>
    <s v="Волго-Дон 5079 ИМО 8852784/46091"/>
    <x v="1"/>
    <x v="5"/>
    <x v="20"/>
    <x v="71"/>
  </r>
  <r>
    <x v="7"/>
    <x v="12"/>
    <s v="Погрузка"/>
    <s v="Архив"/>
    <n v="3300"/>
    <x v="89"/>
    <m/>
    <m/>
    <m/>
    <x v="71"/>
    <x v="3"/>
    <x v="0"/>
    <m/>
    <m/>
    <n v="3301.9459999999999"/>
    <s v="т/х Дон Стар 5 ИМО 8955469/46091"/>
    <x v="1"/>
    <x v="5"/>
    <x v="20"/>
    <x v="71"/>
  </r>
  <r>
    <x v="15"/>
    <x v="8"/>
    <s v="Погрузка"/>
    <s v="Архив"/>
    <n v="2800"/>
    <x v="90"/>
    <m/>
    <m/>
    <m/>
    <x v="70"/>
    <x v="3"/>
    <x v="0"/>
    <m/>
    <m/>
    <n v="2802.13"/>
    <s v="т/х Дон 7111420/46090"/>
    <x v="1"/>
    <x v="5"/>
    <x v="20"/>
    <x v="70"/>
  </r>
  <r>
    <x v="10"/>
    <x v="12"/>
    <s v="Погрузка"/>
    <s v="Архив"/>
    <n v="4000"/>
    <x v="91"/>
    <m/>
    <m/>
    <m/>
    <x v="72"/>
    <x v="3"/>
    <x v="0"/>
    <m/>
    <m/>
    <n v="4019.038"/>
    <s v="т/х Дон Стар 2 ИМО 7911480/46093"/>
    <x v="1"/>
    <x v="5"/>
    <x v="20"/>
    <x v="72"/>
  </r>
  <r>
    <x v="1"/>
    <x v="12"/>
    <s v="Погрузка"/>
    <s v="Архив"/>
    <n v="4000"/>
    <x v="92"/>
    <m/>
    <m/>
    <m/>
    <x v="73"/>
    <x v="3"/>
    <x v="0"/>
    <m/>
    <m/>
    <n v="4015.4270000000001"/>
    <s v="т/х Дон Стар 4 ИМО 7911478/46092"/>
    <x v="1"/>
    <x v="5"/>
    <x v="20"/>
    <x v="73"/>
  </r>
  <r>
    <x v="6"/>
    <x v="12"/>
    <s v="Погрузка"/>
    <s v="На рейде порта погрузки "/>
    <n v="3300"/>
    <x v="73"/>
    <m/>
    <m/>
    <m/>
    <x v="58"/>
    <x v="3"/>
    <x v="0"/>
    <m/>
    <m/>
    <n v="0"/>
    <s v="т/х Дон Стар 1 ИМО 8866735/"/>
    <x v="2"/>
    <x v="3"/>
    <x v="10"/>
    <x v="58"/>
  </r>
  <r>
    <x v="19"/>
    <x v="8"/>
    <s v="Погрузка"/>
    <s v="Архив"/>
    <n v="4700"/>
    <x v="93"/>
    <m/>
    <m/>
    <m/>
    <x v="74"/>
    <x v="3"/>
    <x v="0"/>
    <m/>
    <m/>
    <n v="4610.7539999999999"/>
    <s v="т/х Волго-Дон 5043 ИМО8866321/46096"/>
    <x v="1"/>
    <x v="5"/>
    <x v="20"/>
    <x v="74"/>
  </r>
  <r>
    <x v="20"/>
    <x v="12"/>
    <s v="Погрузка"/>
    <s v="Архив"/>
    <n v="2000"/>
    <x v="94"/>
    <m/>
    <m/>
    <m/>
    <x v="75"/>
    <x v="3"/>
    <x v="0"/>
    <m/>
    <m/>
    <n v="1971.59"/>
    <s v="т/х Абрамцево ИМО8947955/46101"/>
    <x v="1"/>
    <x v="5"/>
    <x v="21"/>
    <x v="75"/>
  </r>
  <r>
    <x v="17"/>
    <x v="12"/>
    <s v="Погрузка"/>
    <s v="Архив"/>
    <n v="3700"/>
    <x v="95"/>
    <m/>
    <m/>
    <m/>
    <x v="76"/>
    <x v="3"/>
    <x v="0"/>
    <m/>
    <m/>
    <n v="3700.7159999999999"/>
    <s v="т/х Святой Спиридон ИМО9087104/46098"/>
    <x v="1"/>
    <x v="5"/>
    <x v="21"/>
    <x v="76"/>
  </r>
  <r>
    <x v="12"/>
    <x v="1"/>
    <s v="Погрузка"/>
    <s v="Архив"/>
    <n v="4600"/>
    <x v="96"/>
    <m/>
    <m/>
    <m/>
    <x v="77"/>
    <x v="3"/>
    <x v="0"/>
    <m/>
    <m/>
    <n v="4680.1400000000003"/>
    <s v="т/х В.Успенский   ИМО 8946389/46100"/>
    <x v="1"/>
    <x v="5"/>
    <x v="21"/>
    <x v="77"/>
  </r>
  <r>
    <x v="15"/>
    <x v="12"/>
    <s v="Погрузка"/>
    <s v="Архив"/>
    <n v="2800"/>
    <x v="97"/>
    <m/>
    <m/>
    <m/>
    <x v="74"/>
    <x v="3"/>
    <x v="0"/>
    <m/>
    <m/>
    <n v="2800.1619999999998"/>
    <s v="т/х Дон 7111420/46096"/>
    <x v="1"/>
    <x v="5"/>
    <x v="20"/>
    <x v="74"/>
  </r>
  <r>
    <x v="8"/>
    <x v="4"/>
    <s v="Погрузка"/>
    <s v="Архив"/>
    <n v="3300"/>
    <x v="98"/>
    <m/>
    <m/>
    <m/>
    <x v="78"/>
    <x v="3"/>
    <x v="0"/>
    <m/>
    <m/>
    <n v="3207.54"/>
    <s v="т/х Дон Стар 7 ИМО 8844153/46102"/>
    <x v="1"/>
    <x v="5"/>
    <x v="21"/>
    <x v="78"/>
  </r>
  <r>
    <x v="5"/>
    <x v="8"/>
    <s v="Погрузка"/>
    <s v="Архив"/>
    <n v="4700"/>
    <x v="99"/>
    <m/>
    <m/>
    <m/>
    <x v="79"/>
    <x v="3"/>
    <x v="0"/>
    <m/>
    <m/>
    <n v="4756.9629999999997"/>
    <s v="Волго-Дон 5079 ИМО 8852784/46099"/>
    <x v="1"/>
    <x v="5"/>
    <x v="21"/>
    <x v="79"/>
  </r>
  <r>
    <x v="10"/>
    <x v="12"/>
    <s v="Погрузка"/>
    <s v="Погрузка"/>
    <n v="4000"/>
    <x v="100"/>
    <m/>
    <m/>
    <m/>
    <x v="80"/>
    <x v="3"/>
    <x v="0"/>
    <m/>
    <m/>
    <n v="4053.0749999999998"/>
    <s v="т/х Дон Стар 2 ИМО 7911480/46114"/>
    <x v="1"/>
    <x v="6"/>
    <x v="22"/>
    <x v="80"/>
  </r>
  <r>
    <x v="1"/>
    <x v="8"/>
    <s v="Погрузка"/>
    <s v="Ожидание убытия в рейс."/>
    <n v="4000"/>
    <x v="101"/>
    <m/>
    <m/>
    <m/>
    <x v="81"/>
    <x v="3"/>
    <x v="0"/>
    <m/>
    <m/>
    <n v="1346.396"/>
    <s v="т/х Дон Стар 4 ИМО 7911478/46113"/>
    <x v="1"/>
    <x v="6"/>
    <x v="22"/>
    <x v="81"/>
  </r>
  <r>
    <x v="1"/>
    <x v="4"/>
    <s v="Догрузка1"/>
    <s v="Ожидание убытия в рейс."/>
    <n v="3000"/>
    <x v="102"/>
    <m/>
    <m/>
    <m/>
    <x v="82"/>
    <x v="3"/>
    <x v="0"/>
    <m/>
    <m/>
    <n v="2675.78"/>
    <s v="т/х Дон Стар 4 ИМО 7911478/46117"/>
    <x v="1"/>
    <x v="6"/>
    <x v="22"/>
    <x v="82"/>
  </r>
  <r>
    <x v="7"/>
    <x v="12"/>
    <s v="Погрузка"/>
    <s v="Архив"/>
    <n v="3300"/>
    <x v="103"/>
    <m/>
    <m/>
    <m/>
    <x v="83"/>
    <x v="3"/>
    <x v="0"/>
    <m/>
    <m/>
    <n v="2803.48"/>
    <s v="т/х Дон Стар 5 ИМО 8955469/46103"/>
    <x v="1"/>
    <x v="5"/>
    <x v="21"/>
    <x v="83"/>
  </r>
  <r>
    <x v="15"/>
    <x v="12"/>
    <s v="Погрузка"/>
    <s v="Архив"/>
    <n v="2800"/>
    <x v="104"/>
    <m/>
    <m/>
    <m/>
    <x v="84"/>
    <x v="3"/>
    <x v="0"/>
    <m/>
    <m/>
    <n v="2812.44"/>
    <s v="т/х Дон 7111420/46106"/>
    <x v="1"/>
    <x v="5"/>
    <x v="23"/>
    <x v="84"/>
  </r>
  <r>
    <x v="21"/>
    <x v="8"/>
    <s v="Погрузка"/>
    <s v="Архив"/>
    <n v="5000"/>
    <x v="105"/>
    <m/>
    <m/>
    <m/>
    <x v="85"/>
    <x v="3"/>
    <x v="0"/>
    <m/>
    <m/>
    <n v="5019.62"/>
    <s v="т/х Соммерс ИМО7111420/46104"/>
    <x v="1"/>
    <x v="5"/>
    <x v="23"/>
    <x v="85"/>
  </r>
  <r>
    <x v="5"/>
    <x v="12"/>
    <s v="Погрузка"/>
    <s v="Следует в Азовском море"/>
    <n v="4700"/>
    <x v="106"/>
    <m/>
    <m/>
    <m/>
    <x v="82"/>
    <x v="3"/>
    <x v="0"/>
    <m/>
    <m/>
    <n v="4756.08"/>
    <s v="Волго-Дон 5079 ИМО 8852784/46117"/>
    <x v="1"/>
    <x v="6"/>
    <x v="22"/>
    <x v="82"/>
  </r>
  <r>
    <x v="12"/>
    <x v="1"/>
    <s v="Погрузка"/>
    <s v="Ожидание убытия в рейс."/>
    <n v="4600"/>
    <x v="107"/>
    <m/>
    <m/>
    <m/>
    <x v="86"/>
    <x v="3"/>
    <x v="0"/>
    <m/>
    <m/>
    <n v="4817.8059999999996"/>
    <s v="т/х В.Успенский   ИМО 8946389/46118"/>
    <x v="1"/>
    <x v="6"/>
    <x v="24"/>
    <x v="86"/>
  </r>
  <r>
    <x v="17"/>
    <x v="12"/>
    <s v="Погрузка"/>
    <s v="Архив"/>
    <n v="3700"/>
    <x v="108"/>
    <m/>
    <m/>
    <m/>
    <x v="87"/>
    <x v="3"/>
    <x v="0"/>
    <m/>
    <m/>
    <n v="3668.1"/>
    <s v="т/х Святой Спиридон ИМО9087104/46109"/>
    <x v="1"/>
    <x v="5"/>
    <x v="23"/>
    <x v="87"/>
  </r>
  <r>
    <x v="22"/>
    <x v="8"/>
    <s v="Погрузка"/>
    <s v="Архив"/>
    <n v="4500"/>
    <x v="109"/>
    <m/>
    <m/>
    <m/>
    <x v="88"/>
    <x v="3"/>
    <x v="0"/>
    <m/>
    <m/>
    <n v="3761.5230000000001"/>
    <s v="т/х Линда1 ИМО8951334/46108"/>
    <x v="1"/>
    <x v="5"/>
    <x v="23"/>
    <x v="88"/>
  </r>
  <r>
    <x v="22"/>
    <x v="12"/>
    <s v="Догрузка1"/>
    <s v="Архив"/>
    <n v="850"/>
    <x v="110"/>
    <m/>
    <m/>
    <m/>
    <x v="89"/>
    <x v="3"/>
    <x v="0"/>
    <m/>
    <m/>
    <n v="819.62099999999998"/>
    <s v="т/х Линда1 ИМО8951334/46110"/>
    <x v="1"/>
    <x v="5"/>
    <x v="23"/>
    <x v="89"/>
  </r>
  <r>
    <x v="23"/>
    <x v="4"/>
    <s v="Погрузка"/>
    <s v="Ожидание убытия в рейс."/>
    <n v="4800"/>
    <x v="111"/>
    <m/>
    <m/>
    <m/>
    <x v="81"/>
    <x v="3"/>
    <x v="0"/>
    <m/>
    <m/>
    <n v="4800"/>
    <s v="т/х Волго-Дон219 ИМО8959207/46113"/>
    <x v="1"/>
    <x v="6"/>
    <x v="22"/>
    <x v="81"/>
  </r>
  <r>
    <x v="20"/>
    <x v="2"/>
    <s v="Погрузка"/>
    <s v="Погрузка"/>
    <n v="1970"/>
    <x v="73"/>
    <m/>
    <m/>
    <m/>
    <x v="58"/>
    <x v="3"/>
    <x v="0"/>
    <m/>
    <m/>
    <n v="0"/>
    <s v="т/х Абрамцево ИМО8947955/"/>
    <x v="2"/>
    <x v="3"/>
    <x v="10"/>
    <x v="58"/>
  </r>
  <r>
    <x v="8"/>
    <x v="15"/>
    <s v="Погрузка"/>
    <s v="На рейде порта погрузки "/>
    <n v="3300"/>
    <x v="73"/>
    <m/>
    <m/>
    <m/>
    <x v="58"/>
    <x v="3"/>
    <x v="0"/>
    <m/>
    <m/>
    <n v="0"/>
    <s v="т/х Дон Стар 7 ИМО 8844153/"/>
    <x v="2"/>
    <x v="3"/>
    <x v="10"/>
    <x v="58"/>
  </r>
  <r>
    <x v="7"/>
    <x v="15"/>
    <s v="Погрузка"/>
    <s v="На рейде порта погрузки "/>
    <n v="3300"/>
    <x v="73"/>
    <m/>
    <m/>
    <m/>
    <x v="58"/>
    <x v="3"/>
    <x v="0"/>
    <m/>
    <m/>
    <n v="0"/>
    <s v="т/х Дон Стар 5 ИМО 8955469/"/>
    <x v="2"/>
    <x v="3"/>
    <x v="10"/>
    <x v="58"/>
  </r>
  <r>
    <x v="3"/>
    <x v="2"/>
    <s v="Погрузка"/>
    <s v="Ожидание погрузки ."/>
    <n v="3300"/>
    <x v="73"/>
    <m/>
    <m/>
    <m/>
    <x v="58"/>
    <x v="3"/>
    <x v="0"/>
    <m/>
    <m/>
    <n v="0"/>
    <s v="т/х Дон Стар 8 ИМО 8884957/"/>
    <x v="2"/>
    <x v="3"/>
    <x v="10"/>
    <x v="58"/>
  </r>
  <r>
    <x v="15"/>
    <x v="2"/>
    <s v="Погрузка"/>
    <s v="Ожидание убытия в рейс."/>
    <n v="2600"/>
    <x v="112"/>
    <m/>
    <m/>
    <m/>
    <x v="82"/>
    <x v="3"/>
    <x v="0"/>
    <m/>
    <m/>
    <n v="2458.91"/>
    <s v="т/х Дон 7111420/46117"/>
    <x v="1"/>
    <x v="6"/>
    <x v="22"/>
    <x v="8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8">
  <r>
    <x v="0"/>
    <x v="0"/>
    <s v="Догрузка1"/>
    <x v="0"/>
    <n v="162.85"/>
    <x v="0"/>
    <d v="2025-10-18T17:00:00"/>
    <d v="2025-10-18T18:15:00"/>
    <d v="2025-10-18T19:30:00"/>
    <x v="0"/>
    <x v="0"/>
    <x v="0"/>
    <s v="Бюро Веритас "/>
    <n v="2404.9340000000002"/>
    <n v="2567.7840000000001"/>
    <s v="т/х Дон Стар 6 ИМО 8951396/45948"/>
    <n v="2025"/>
    <s v="Октябрь"/>
    <n v="42"/>
    <n v="45948"/>
  </r>
  <r>
    <x v="1"/>
    <x v="1"/>
    <s v="Погрузка"/>
    <x v="0"/>
    <n v="4000"/>
    <x v="1"/>
    <d v="2025-10-19T17:15:00"/>
    <d v="2025-10-20T14:10:00"/>
    <d v="2025-10-21T18:10:00"/>
    <x v="1"/>
    <x v="1"/>
    <x v="0"/>
    <s v="Котекна"/>
    <m/>
    <n v="4011.556"/>
    <s v="т/х Дон Стар 4 ИМО 7911478/45951"/>
    <n v="2025"/>
    <s v="Октябрь"/>
    <n v="43"/>
    <n v="45951"/>
  </r>
  <r>
    <x v="2"/>
    <x v="2"/>
    <s v="Погрузка"/>
    <x v="0"/>
    <n v="3000"/>
    <x v="2"/>
    <d v="2025-10-22T14:00:00"/>
    <d v="2025-10-22T17:00:00"/>
    <d v="2025-10-24T07:40:00"/>
    <x v="2"/>
    <x v="2"/>
    <x v="0"/>
    <s v="Котекна"/>
    <m/>
    <n v="3001.3359999999998"/>
    <s v="т/х Дон Стар 3 ИМО 7911507/45954"/>
    <n v="2025"/>
    <s v="Октябрь"/>
    <n v="43"/>
    <n v="45954"/>
  </r>
  <r>
    <x v="3"/>
    <x v="2"/>
    <s v="Погрузка"/>
    <x v="0"/>
    <n v="1500"/>
    <x v="3"/>
    <d v="2025-10-26T21:50:00"/>
    <d v="2025-10-27T11:00:00"/>
    <d v="2025-10-28T22:05:00"/>
    <x v="3"/>
    <x v="2"/>
    <x v="0"/>
    <s v="Котекна"/>
    <m/>
    <n v="1457.1780000000001"/>
    <s v="т/х Дон Стар 8 ИМО 8884957/45956"/>
    <n v="2025"/>
    <s v="Октябрь"/>
    <n v="43"/>
    <n v="45956"/>
  </r>
  <r>
    <x v="4"/>
    <x v="3"/>
    <s v="Погрузка"/>
    <x v="0"/>
    <n v="3750"/>
    <x v="4"/>
    <d v="2025-10-20T21:30:00"/>
    <d v="2025-10-21T00:10:00"/>
    <d v="2025-10-21T02:10:00"/>
    <x v="4"/>
    <x v="0"/>
    <x v="0"/>
    <s v="Бюро Веритас "/>
    <m/>
    <n v="3757.69"/>
    <s v="т/х Герой И.И.Петров//нб Балтис ИМО  2186884/45952"/>
    <n v="2025"/>
    <s v="Октябрь"/>
    <n v="43"/>
    <n v="45952"/>
  </r>
  <r>
    <x v="5"/>
    <x v="4"/>
    <s v="Погрузка"/>
    <x v="0"/>
    <n v="4800"/>
    <x v="5"/>
    <d v="2025-10-14T07:30:00"/>
    <d v="2025-10-15T21:20:00"/>
    <d v="2025-10-18T04:10:00"/>
    <x v="0"/>
    <x v="1"/>
    <x v="0"/>
    <s v="Бюро Веритас "/>
    <m/>
    <n v="4779.5"/>
    <s v="Волго-Дон 5079 ИМО 8852784/45948"/>
    <n v="2025"/>
    <s v="Октябрь"/>
    <n v="42"/>
    <n v="45948"/>
  </r>
  <r>
    <x v="0"/>
    <x v="5"/>
    <s v="Догрузка2"/>
    <x v="0"/>
    <n v="600"/>
    <x v="6"/>
    <d v="2025-10-19T16:30:00"/>
    <d v="2025-10-19T17:30:00"/>
    <d v="2025-10-20T03:50:00"/>
    <x v="5"/>
    <x v="0"/>
    <x v="0"/>
    <s v="Бюро Веритас "/>
    <n v="2567.7840000000001"/>
    <n v="3164.0230000000001"/>
    <s v="т/х Дон Стар 6 ИМО 8951396/45950"/>
    <n v="2025"/>
    <s v="Октябрь"/>
    <n v="43"/>
    <n v="45950"/>
  </r>
  <r>
    <x v="6"/>
    <x v="3"/>
    <s v="Погрузка"/>
    <x v="0"/>
    <n v="3300"/>
    <x v="7"/>
    <d v="2025-10-22T13:30:00"/>
    <d v="2025-10-23T00:15:00"/>
    <d v="2025-10-23T21:55:00"/>
    <x v="6"/>
    <x v="0"/>
    <x v="0"/>
    <s v="Котекна"/>
    <m/>
    <n v="3221.4090000000001"/>
    <s v="т/х Дон Стар 1 ИМО 8866735/45953"/>
    <n v="2025"/>
    <s v="Октябрь"/>
    <n v="43"/>
    <n v="45953"/>
  </r>
  <r>
    <x v="7"/>
    <x v="5"/>
    <s v="Погрузка"/>
    <x v="0"/>
    <n v="3300"/>
    <x v="8"/>
    <d v="2025-10-21T05:50:00"/>
    <d v="2025-10-22T01:10:00"/>
    <d v="2025-10-22T22:30:00"/>
    <x v="4"/>
    <x v="0"/>
    <x v="0"/>
    <s v="Котекна"/>
    <m/>
    <n v="3237.9059999999999"/>
    <s v="т/х Дон Стар 5 ИМО 8955469/45952"/>
    <n v="2025"/>
    <s v="Октябрь"/>
    <n v="43"/>
    <n v="45952"/>
  </r>
  <r>
    <x v="0"/>
    <x v="0"/>
    <s v="Погрузка"/>
    <x v="0"/>
    <n v="2500"/>
    <x v="9"/>
    <d v="2025-10-15T21:00:00"/>
    <d v="2025-10-15T22:00:00"/>
    <d v="2025-10-16T20:00:00"/>
    <x v="7"/>
    <x v="0"/>
    <x v="0"/>
    <s v="Бюро Веритас "/>
    <m/>
    <n v="2404.9340000000002"/>
    <s v="т/х Дон Стар 6 ИМО 8951396/45946"/>
    <n v="2025"/>
    <s v="Октябрь"/>
    <n v="42"/>
    <n v="45946"/>
  </r>
  <r>
    <x v="5"/>
    <x v="6"/>
    <s v="Погрузка"/>
    <x v="0"/>
    <n v="4750"/>
    <x v="10"/>
    <m/>
    <d v="2025-10-24T18:45:00"/>
    <d v="2025-10-26T08:50:00"/>
    <x v="3"/>
    <x v="0"/>
    <x v="0"/>
    <s v="Котекна"/>
    <m/>
    <n v="4779.2160000000003"/>
    <s v="Волго-Дон 5079 ИМО 8852784/45956"/>
    <n v="2025"/>
    <s v="Октябрь"/>
    <n v="43"/>
    <n v="45956"/>
  </r>
  <r>
    <x v="0"/>
    <x v="6"/>
    <s v="Погрузка"/>
    <x v="0"/>
    <n v="3300"/>
    <x v="11"/>
    <d v="2025-10-24T13:35:00"/>
    <d v="2025-10-26T16:40:00"/>
    <d v="2025-10-27T10:30:00"/>
    <x v="8"/>
    <x v="0"/>
    <x v="0"/>
    <s v="Котекна"/>
    <m/>
    <n v="3112.4859999999999"/>
    <s v="т/х Дон Стар 6 ИМО 8951396/45957"/>
    <n v="2025"/>
    <s v="Октябрь"/>
    <n v="44"/>
    <n v="45957"/>
  </r>
  <r>
    <x v="2"/>
    <x v="3"/>
    <s v="Догрузка1"/>
    <x v="0"/>
    <n v="1000"/>
    <x v="12"/>
    <d v="2025-10-26T18:00:00"/>
    <d v="2025-10-27T12:40:00"/>
    <d v="2025-10-27T18:10:00"/>
    <x v="8"/>
    <x v="0"/>
    <x v="0"/>
    <s v="Котекна"/>
    <n v="3001.3359999999998"/>
    <n v="4050.4749999999995"/>
    <s v="т/х Дон Стар 3 ИМО 7911507/45957"/>
    <n v="2025"/>
    <s v="Октябрь"/>
    <n v="44"/>
    <n v="45957"/>
  </r>
  <r>
    <x v="8"/>
    <x v="3"/>
    <s v="Погрузка"/>
    <x v="0"/>
    <n v="3300"/>
    <x v="13"/>
    <d v="2025-10-29T21:20:00"/>
    <d v="2025-10-29T23:45:00"/>
    <d v="2025-10-31T00:40:00"/>
    <x v="9"/>
    <x v="3"/>
    <x v="0"/>
    <s v="СЖС"/>
    <m/>
    <n v="3202.058"/>
    <s v="т/х Дон Стар 7 ИМО 8844153/45961"/>
    <n v="2025"/>
    <s v="Октябрь"/>
    <n v="44"/>
    <n v="45961"/>
  </r>
  <r>
    <x v="7"/>
    <x v="5"/>
    <s v="Погрузка"/>
    <x v="0"/>
    <n v="3300"/>
    <x v="14"/>
    <d v="2025-10-31T09:40:00"/>
    <d v="2025-11-01T13:05:00"/>
    <s v=" 03.11.25 4:45"/>
    <x v="10"/>
    <x v="3"/>
    <x v="0"/>
    <s v="СЖС"/>
    <m/>
    <n v="3000.3789999999999"/>
    <s v="т/х Дон Стар 5 ИМО 8955469/45964"/>
    <n v="2025"/>
    <s v="Ноябрь"/>
    <n v="45"/>
    <n v="45964"/>
  </r>
  <r>
    <x v="1"/>
    <x v="6"/>
    <s v="Погрузка"/>
    <x v="0"/>
    <n v="4050"/>
    <x v="15"/>
    <d v="2025-10-29T16:30:00"/>
    <d v="2025-10-30T18:25:00"/>
    <d v="2025-11-01T01:55:00"/>
    <x v="11"/>
    <x v="3"/>
    <x v="0"/>
    <s v="СЖС"/>
    <m/>
    <n v="4012.5459999999998"/>
    <s v="т/х Дон Стар 4 ИМО 7911478/45962"/>
    <n v="2025"/>
    <s v="Ноябрь"/>
    <n v="44"/>
    <n v="45962"/>
  </r>
  <r>
    <x v="3"/>
    <x v="7"/>
    <s v="Догрузка1"/>
    <x v="0"/>
    <n v="1700"/>
    <x v="16"/>
    <d v="2025-10-30T12:00:00"/>
    <d v="2025-10-30T14:00:00"/>
    <d v="2025-10-30T23:10:00"/>
    <x v="12"/>
    <x v="0"/>
    <x v="0"/>
    <s v="Котекна"/>
    <n v="1457.1780000000001"/>
    <n v="3114.8069999999998"/>
    <s v="т/х Дон Стар 8 ИМО 8884957/45960"/>
    <n v="2025"/>
    <s v="Октябрь"/>
    <n v="44"/>
    <n v="45960"/>
  </r>
  <r>
    <x v="6"/>
    <x v="3"/>
    <s v="Погрузка"/>
    <x v="0"/>
    <n v="3300"/>
    <x v="17"/>
    <d v="2025-10-30T10:25:00"/>
    <d v="2025-10-31T23:40:00"/>
    <s v=" 02.11.25 7:10"/>
    <x v="13"/>
    <x v="4"/>
    <x v="1"/>
    <s v="СЖС"/>
    <m/>
    <n v="3300.07"/>
    <s v="т/х Дон Стар 1 ИМО 8866735/45963"/>
    <n v="2025"/>
    <s v="Ноябрь"/>
    <n v="44"/>
    <n v="45963"/>
  </r>
  <r>
    <x v="5"/>
    <x v="3"/>
    <s v="Погрузка"/>
    <x v="0"/>
    <n v="4750"/>
    <x v="18"/>
    <d v="2025-11-02T13:10:00"/>
    <d v="2025-11-05T13:50:00"/>
    <d v="2025-11-06T23:30:00"/>
    <x v="14"/>
    <x v="4"/>
    <x v="1"/>
    <s v="СЖС"/>
    <m/>
    <n v="4781.2579999999998"/>
    <s v="Волго-Дон 5079 ИМО 8852784/45967"/>
    <n v="2025"/>
    <s v="Ноябрь"/>
    <n v="45"/>
    <n v="45967"/>
  </r>
  <r>
    <x v="0"/>
    <x v="8"/>
    <s v="Погрузка"/>
    <x v="0"/>
    <n v="3300"/>
    <x v="19"/>
    <d v="2025-11-03T01:40:00"/>
    <d v="2025-11-04T15:50:00"/>
    <s v=" 05.11.25 22:00"/>
    <x v="15"/>
    <x v="4"/>
    <x v="1"/>
    <s v="СЖС"/>
    <m/>
    <n v="3256.3449999999998"/>
    <s v="т/х Дон Стар 6 ИМО 8951396/45966"/>
    <n v="2025"/>
    <s v="Ноябрь"/>
    <n v="45"/>
    <n v="45966"/>
  </r>
  <r>
    <x v="2"/>
    <x v="3"/>
    <s v="Погрузка"/>
    <x v="0"/>
    <n v="4050"/>
    <x v="20"/>
    <d v="2025-11-04T18:20:00"/>
    <d v="2025-11-05T18:50:00"/>
    <d v="2025-11-07T03:30:00"/>
    <x v="16"/>
    <x v="5"/>
    <x v="1"/>
    <s v="Топ Фрейм"/>
    <m/>
    <n v="4034.03"/>
    <s v="т/х Дон Стар 3 ИМО 7911507/45968"/>
    <n v="2025"/>
    <s v="Ноябрь"/>
    <n v="45"/>
    <n v="45968"/>
  </r>
  <r>
    <x v="3"/>
    <x v="3"/>
    <s v="Погрузка"/>
    <x v="0"/>
    <n v="3300"/>
    <x v="21"/>
    <d v="2025-11-07T10:10:00"/>
    <d v="2025-11-09T03:30:00"/>
    <d v="2025-11-10T21:00:00"/>
    <x v="17"/>
    <x v="4"/>
    <x v="1"/>
    <s v="СЖС"/>
    <m/>
    <n v="3197.1990000000001"/>
    <s v="т/х Дон Стар 8 ИМО 8884957/45971"/>
    <n v="2025"/>
    <s v="Ноябрь"/>
    <n v="46"/>
    <n v="45971"/>
  </r>
  <r>
    <x v="8"/>
    <x v="9"/>
    <s v="Погрузка"/>
    <x v="0"/>
    <n v="3300"/>
    <x v="22"/>
    <d v="2025-11-07T09:00:00"/>
    <d v="2025-11-09T11:30:00"/>
    <d v="2025-11-09T22:10:00"/>
    <x v="18"/>
    <x v="3"/>
    <x v="0"/>
    <s v="СЖС"/>
    <m/>
    <n v="3259.5410000000002"/>
    <s v="т/х Дон Стар 7 ИМО 8844153/45970"/>
    <n v="2025"/>
    <s v="Ноябрь"/>
    <n v="45"/>
    <n v="45970"/>
  </r>
  <r>
    <x v="1"/>
    <x v="8"/>
    <s v="Погрузка"/>
    <x v="0"/>
    <n v="4000"/>
    <x v="23"/>
    <d v="2025-11-08T20:00:00"/>
    <d v="2025-11-09T13:50:00"/>
    <d v="2025-11-13T11:50:00"/>
    <x v="19"/>
    <x v="4"/>
    <x v="1"/>
    <s v="СЖС"/>
    <m/>
    <n v="4003.66"/>
    <s v="т/х Дон Стар 4 ИМО 7911478/45974"/>
    <n v="2025"/>
    <s v="Ноябрь"/>
    <n v="46"/>
    <n v="45974"/>
  </r>
  <r>
    <x v="4"/>
    <x v="10"/>
    <s v="Погрузка"/>
    <x v="0"/>
    <n v="3000"/>
    <x v="24"/>
    <d v="2025-11-06T14:00:00"/>
    <d v="2025-11-06T17:45:00"/>
    <d v="2025-11-08T01:00:00"/>
    <x v="20"/>
    <x v="3"/>
    <x v="0"/>
    <s v="СЖС"/>
    <m/>
    <n v="3046.56"/>
    <s v="т/х Герой И.И.Петров//нб Балтис ИМО  2186884/45969"/>
    <n v="2025"/>
    <s v="Ноябрь"/>
    <n v="45"/>
    <n v="45969"/>
  </r>
  <r>
    <x v="4"/>
    <x v="7"/>
    <s v="Догрузка1"/>
    <x v="0"/>
    <n v="800"/>
    <x v="25"/>
    <d v="2025-11-09T02:30:00"/>
    <d v="2025-11-09T06:00:00"/>
    <d v="2025-11-09T23:15:00"/>
    <x v="18"/>
    <x v="3"/>
    <x v="0"/>
    <s v="СЖС"/>
    <n v="3046.56"/>
    <n v="3692.098"/>
    <s v="т/х Герой И.И.Петров//нб Балтис ИМО  2186884/45970"/>
    <n v="2025"/>
    <s v="Ноябрь"/>
    <n v="45"/>
    <n v="45970"/>
  </r>
  <r>
    <x v="7"/>
    <x v="5"/>
    <s v="Погрузка"/>
    <x v="0"/>
    <n v="3300"/>
    <x v="26"/>
    <d v="2025-11-13T08:45:00"/>
    <d v="2025-11-14T03:10:00"/>
    <d v="2025-11-15T00:20:00"/>
    <x v="21"/>
    <x v="3"/>
    <x v="0"/>
    <s v="СЖС"/>
    <m/>
    <n v="3199.0520000000001"/>
    <s v="т/х Дон Стар 5 ИМО 8955469/45976"/>
    <n v="2025"/>
    <s v="Ноябрь"/>
    <n v="46"/>
    <n v="45976"/>
  </r>
  <r>
    <x v="6"/>
    <x v="3"/>
    <s v="Погрузка"/>
    <x v="0"/>
    <n v="3300"/>
    <x v="27"/>
    <d v="2025-11-13T07:00:00"/>
    <d v="2025-11-14T14:00:00"/>
    <d v="2025-11-15T23:40:00"/>
    <x v="21"/>
    <x v="4"/>
    <x v="1"/>
    <s v="СЖС"/>
    <m/>
    <n v="3241.2080000000001"/>
    <s v="т/х Дон Стар 1 ИМО 8866735/45976"/>
    <n v="2025"/>
    <s v="Ноябрь"/>
    <n v="46"/>
    <n v="45976"/>
  </r>
  <r>
    <x v="0"/>
    <x v="3"/>
    <s v="Погрузка"/>
    <x v="0"/>
    <n v="3300"/>
    <x v="28"/>
    <d v="2025-11-16T06:45:00"/>
    <d v="2025-11-16T08:30:00"/>
    <d v="2025-11-18T08:40:00"/>
    <x v="22"/>
    <x v="3"/>
    <x v="0"/>
    <s v="СЖС"/>
    <m/>
    <n v="3248.78"/>
    <s v="т/х Дон Стар 6 ИМО 8951396/45979"/>
    <n v="2025"/>
    <s v="Ноябрь"/>
    <n v="47"/>
    <n v="45979"/>
  </r>
  <r>
    <x v="5"/>
    <x v="11"/>
    <s v="Погрузка"/>
    <x v="0"/>
    <n v="4750"/>
    <x v="29"/>
    <m/>
    <d v="2025-11-14T20:55:00"/>
    <d v="2025-11-15T11:55:00"/>
    <x v="21"/>
    <x v="3"/>
    <x v="0"/>
    <s v="СЖС"/>
    <m/>
    <n v="4780.7449999999999"/>
    <s v="Волго-Дон 5079 ИМО 8852784/45976"/>
    <n v="2025"/>
    <s v="Ноябрь"/>
    <n v="46"/>
    <n v="45976"/>
  </r>
  <r>
    <x v="8"/>
    <x v="8"/>
    <s v="Погрузка"/>
    <x v="0"/>
    <n v="2800"/>
    <x v="30"/>
    <d v="2025-11-18T10:20:00"/>
    <d v="2025-11-19T12:25:00"/>
    <s v=" 20.11.2025 21:20"/>
    <x v="23"/>
    <x v="4"/>
    <x v="1"/>
    <s v="СЖС"/>
    <m/>
    <n v="2799.82"/>
    <s v="т/х Дон Стар 7 ИМО 8844153/45981"/>
    <n v="2025"/>
    <s v="Ноябрь"/>
    <n v="47"/>
    <n v="45981"/>
  </r>
  <r>
    <x v="3"/>
    <x v="11"/>
    <s v="Погрузка"/>
    <x v="0"/>
    <n v="3300"/>
    <x v="31"/>
    <d v="2025-11-18T11:00:00"/>
    <d v="2025-11-20T16:15:00"/>
    <d v="2025-11-21T04:30:00"/>
    <x v="24"/>
    <x v="3"/>
    <x v="0"/>
    <s v="СЖС"/>
    <m/>
    <n v="3300.5419999999999"/>
    <s v="т/х Дон Стар 8 ИМО 8884957/45982"/>
    <n v="2025"/>
    <s v="Ноябрь"/>
    <n v="47"/>
    <n v="45982"/>
  </r>
  <r>
    <x v="1"/>
    <x v="1"/>
    <s v="Погрузка"/>
    <x v="0"/>
    <n v="4050"/>
    <x v="32"/>
    <d v="2025-11-18T16:20:00"/>
    <d v="2025-11-20T19:00:00"/>
    <s v=" 22.11.25 14:20"/>
    <x v="25"/>
    <x v="3"/>
    <x v="0"/>
    <s v="СЖС"/>
    <m/>
    <n v="4025.2979999999998"/>
    <s v="т/х Дон Стар 4 ИМО 7911478/45983"/>
    <n v="2025"/>
    <s v="Ноябрь"/>
    <n v="47"/>
    <n v="45983"/>
  </r>
  <r>
    <x v="6"/>
    <x v="5"/>
    <s v="Погрузка"/>
    <x v="0"/>
    <n v="3300"/>
    <x v="33"/>
    <d v="2025-11-24T03:00:00"/>
    <d v="2025-11-24T05:20:00"/>
    <d v="2025-11-25T14:00:00"/>
    <x v="26"/>
    <x v="3"/>
    <x v="0"/>
    <s v="СЖС"/>
    <m/>
    <n v="3309.6550000000002"/>
    <s v="т/х Дон Стар 1 ИМО 8866735/45986"/>
    <n v="2025"/>
    <s v="Ноябрь"/>
    <n v="48"/>
    <n v="45986"/>
  </r>
  <r>
    <x v="0"/>
    <x v="3"/>
    <s v="Погрузка"/>
    <x v="0"/>
    <n v="2300"/>
    <x v="34"/>
    <d v="2025-11-24T09:25:00"/>
    <d v="2025-11-25T08:30:00"/>
    <d v="2025-11-26T05:40:00"/>
    <x v="27"/>
    <x v="3"/>
    <x v="0"/>
    <s v="СЖС"/>
    <m/>
    <n v="2322.904"/>
    <s v="т/х Дон Стар 6 ИМО 8951396/45987"/>
    <n v="2025"/>
    <s v="Ноябрь"/>
    <n v="48"/>
    <n v="45987"/>
  </r>
  <r>
    <x v="0"/>
    <x v="5"/>
    <s v="Догрузка1"/>
    <x v="0"/>
    <n v="1000"/>
    <x v="35"/>
    <d v="2025-11-26T23:45:00"/>
    <d v="2025-11-27T00:35:00"/>
    <d v="2025-11-27T11:40:00"/>
    <x v="28"/>
    <x v="3"/>
    <x v="0"/>
    <s v="СЖС"/>
    <m/>
    <n v="928.77200000000005"/>
    <s v="т/х Дон Стар 6 ИМО 8951396/45988"/>
    <n v="2025"/>
    <s v="Ноябрь"/>
    <n v="48"/>
    <n v="45988"/>
  </r>
  <r>
    <x v="5"/>
    <x v="8"/>
    <s v="Погрузка"/>
    <x v="0"/>
    <n v="4750"/>
    <x v="36"/>
    <m/>
    <d v="2025-11-26T20:20:00"/>
    <d v="2025-11-28T21:20:00"/>
    <x v="29"/>
    <x v="3"/>
    <x v="0"/>
    <s v="СЖС"/>
    <m/>
    <n v="4775.8459999999995"/>
    <s v="Волго-Дон 5079 ИМО 8852784/45989"/>
    <n v="2025"/>
    <s v="Ноябрь"/>
    <n v="48"/>
    <n v="45989"/>
  </r>
  <r>
    <x v="3"/>
    <x v="8"/>
    <s v="Погрузка"/>
    <x v="0"/>
    <n v="1200"/>
    <x v="37"/>
    <d v="2025-11-29T18:40:00"/>
    <d v="2025-11-30T12:35:00"/>
    <d v="2025-12-01T15:45:00"/>
    <x v="30"/>
    <x v="3"/>
    <x v="0"/>
    <s v="СЖС"/>
    <m/>
    <n v="1144.855"/>
    <s v="т/х Дон Стар 8 ИМО 8884957/45992"/>
    <n v="2025"/>
    <s v="Декабрь"/>
    <n v="49"/>
    <n v="45992"/>
  </r>
  <r>
    <x v="3"/>
    <x v="12"/>
    <s v="Догрузка1"/>
    <x v="0"/>
    <n v="2100"/>
    <x v="38"/>
    <d v="2025-12-02T10:50:00"/>
    <d v="2025-12-02T13:25:00"/>
    <d v="2025-12-03T01:30:00"/>
    <x v="31"/>
    <x v="3"/>
    <x v="0"/>
    <s v="СЖС"/>
    <n v="1144.855"/>
    <n v="3225.2489999999998"/>
    <s v="т/х Дон Стар 8 ИМО 8884957/45994"/>
    <n v="2025"/>
    <s v="Декабрь"/>
    <n v="49"/>
    <n v="45994"/>
  </r>
  <r>
    <x v="8"/>
    <x v="5"/>
    <s v="Погрузка"/>
    <x v="0"/>
    <n v="3300"/>
    <x v="39"/>
    <d v="2025-11-29T03:20:00"/>
    <d v="2025-12-01T05:30:00"/>
    <d v="2025-12-02T14:20:00"/>
    <x v="32"/>
    <x v="3"/>
    <x v="0"/>
    <s v="СЖС"/>
    <m/>
    <n v="3028.7240000000002"/>
    <s v="т/х Дон Стар 7 ИМО 8844153/45993"/>
    <n v="2025"/>
    <s v="Декабрь"/>
    <n v="49"/>
    <n v="45993"/>
  </r>
  <r>
    <x v="6"/>
    <x v="12"/>
    <s v="Погрузка"/>
    <x v="0"/>
    <n v="3300"/>
    <x v="40"/>
    <d v="2025-12-01T12:20:00"/>
    <d v="2025-12-02T13:05:00"/>
    <d v="2025-12-03T10:35:00"/>
    <x v="31"/>
    <x v="3"/>
    <x v="0"/>
    <s v="СЖС"/>
    <m/>
    <n v="3300.42"/>
    <s v="т/х Дон Стар 1 ИМО 8866735/45994"/>
    <n v="2025"/>
    <s v="Декабрь"/>
    <n v="49"/>
    <n v="45994"/>
  </r>
  <r>
    <x v="1"/>
    <x v="12"/>
    <s v="Погрузка"/>
    <x v="0"/>
    <n v="4000"/>
    <x v="41"/>
    <d v="2025-12-01T21:00:00"/>
    <m/>
    <m/>
    <x v="33"/>
    <x v="3"/>
    <x v="0"/>
    <s v="СЖС"/>
    <m/>
    <n v="4010.0010000000002"/>
    <s v="т/х Дон Стар 4 ИМО 7911478/45995"/>
    <n v="2025"/>
    <s v="Декабрь"/>
    <n v="49"/>
    <n v="45995"/>
  </r>
  <r>
    <x v="0"/>
    <x v="12"/>
    <s v="Погрузка"/>
    <x v="0"/>
    <n v="3300"/>
    <x v="42"/>
    <m/>
    <m/>
    <m/>
    <x v="34"/>
    <x v="3"/>
    <x v="0"/>
    <s v="СЖС"/>
    <m/>
    <n v="2901.6239999999998"/>
    <s v="т/х Дон Стар 6 ИМО 8951396/45996"/>
    <n v="2025"/>
    <s v="Декабрь"/>
    <n v="49"/>
    <n v="45996"/>
  </r>
  <r>
    <x v="7"/>
    <x v="12"/>
    <s v="Погрузка"/>
    <x v="0"/>
    <n v="3300"/>
    <x v="43"/>
    <m/>
    <m/>
    <m/>
    <x v="35"/>
    <x v="3"/>
    <x v="0"/>
    <s v="СЖС"/>
    <m/>
    <n v="2788.9839999999999"/>
    <s v="т/х Дон Стар 5 ИМО 8955469/45997"/>
    <n v="2025"/>
    <s v="Декабрь"/>
    <n v="49"/>
    <n v="45997"/>
  </r>
  <r>
    <x v="5"/>
    <x v="12"/>
    <s v="Погрузка"/>
    <x v="0"/>
    <n v="4750"/>
    <x v="44"/>
    <m/>
    <m/>
    <m/>
    <x v="36"/>
    <x v="3"/>
    <x v="0"/>
    <s v="СЖС"/>
    <m/>
    <n v="4812.326"/>
    <s v="Волго-Дон 5079 ИМО 8852784/45999"/>
    <n v="2025"/>
    <s v="Декабрь"/>
    <n v="50"/>
    <n v="45999"/>
  </r>
  <r>
    <x v="8"/>
    <x v="12"/>
    <s v="Погрузка"/>
    <x v="0"/>
    <n v="3300"/>
    <x v="45"/>
    <m/>
    <m/>
    <m/>
    <x v="37"/>
    <x v="3"/>
    <x v="0"/>
    <s v="СЖС"/>
    <m/>
    <n v="3214.2060000000001"/>
    <s v="т/х Дон Стар 7 ИМО 8844153/46003"/>
    <n v="2025"/>
    <s v="Декабрь"/>
    <n v="50"/>
    <n v="46003"/>
  </r>
  <r>
    <x v="9"/>
    <x v="13"/>
    <s v="Погрузка"/>
    <x v="0"/>
    <n v="5000"/>
    <x v="46"/>
    <m/>
    <m/>
    <m/>
    <x v="37"/>
    <x v="6"/>
    <x v="0"/>
    <s v="Топ Фрейм"/>
    <m/>
    <n v="5007.8"/>
    <s v=" т/х Ugah Confidence/46003"/>
    <n v="2025"/>
    <s v="Декабрь"/>
    <n v="50"/>
    <n v="46003"/>
  </r>
  <r>
    <x v="3"/>
    <x v="5"/>
    <s v="Погрузка"/>
    <x v="0"/>
    <n v="3300"/>
    <x v="47"/>
    <m/>
    <m/>
    <m/>
    <x v="38"/>
    <x v="3"/>
    <x v="0"/>
    <s v="СЖС"/>
    <m/>
    <n v="3269.0430000000001"/>
    <s v="т/х Дон Стар 8 ИМО 8884957/46007"/>
    <n v="2025"/>
    <s v="Декабрь"/>
    <n v="51"/>
    <n v="46007"/>
  </r>
  <r>
    <x v="0"/>
    <x v="12"/>
    <s v="Погрузка"/>
    <x v="0"/>
    <n v="3300"/>
    <x v="48"/>
    <m/>
    <m/>
    <m/>
    <x v="39"/>
    <x v="3"/>
    <x v="0"/>
    <s v="СЖС"/>
    <m/>
    <n v="3249.9639999999999"/>
    <s v="т/х Дон Стар 6 ИМО 8951396/46009"/>
    <n v="2025"/>
    <s v="Декабрь"/>
    <n v="51"/>
    <n v="46009"/>
  </r>
  <r>
    <x v="1"/>
    <x v="12"/>
    <s v="Погрузка"/>
    <x v="0"/>
    <n v="4050"/>
    <x v="49"/>
    <m/>
    <m/>
    <m/>
    <x v="39"/>
    <x v="3"/>
    <x v="0"/>
    <s v="СЖС"/>
    <m/>
    <n v="4012.3980000000001"/>
    <s v="т/х Дон Стар 4 ИМО 7911478/46009"/>
    <n v="2025"/>
    <s v="Декабрь"/>
    <n v="51"/>
    <n v="46009"/>
  </r>
  <r>
    <x v="7"/>
    <x v="12"/>
    <s v="Погрузка"/>
    <x v="0"/>
    <n v="3300"/>
    <x v="50"/>
    <m/>
    <m/>
    <m/>
    <x v="40"/>
    <x v="3"/>
    <x v="0"/>
    <s v="СЖС"/>
    <m/>
    <n v="3179.6790000000001"/>
    <s v="т/х Дон Стар 5 ИМО 8955469/46011"/>
    <n v="2025"/>
    <s v="Декабрь"/>
    <n v="51"/>
    <n v="46011"/>
  </r>
  <r>
    <x v="6"/>
    <x v="12"/>
    <s v="Погрузка"/>
    <x v="0"/>
    <n v="3300"/>
    <x v="51"/>
    <m/>
    <m/>
    <m/>
    <x v="41"/>
    <x v="3"/>
    <x v="0"/>
    <s v="СЖС"/>
    <m/>
    <n v="3300.29"/>
    <s v="т/х Дон Стар 1 ИМО 8866735/46013"/>
    <n v="2025"/>
    <s v="Декабрь"/>
    <n v="52"/>
    <n v="46013"/>
  </r>
  <r>
    <x v="8"/>
    <x v="12"/>
    <s v="Погрузка"/>
    <x v="0"/>
    <n v="3300"/>
    <x v="52"/>
    <m/>
    <m/>
    <m/>
    <x v="42"/>
    <x v="3"/>
    <x v="0"/>
    <s v="СЖС"/>
    <m/>
    <n v="3209.933"/>
    <s v="т/х Дон Стар 7 ИМО 8844153/46017"/>
    <n v="2025"/>
    <s v="Декабрь"/>
    <n v="52"/>
    <n v="46017"/>
  </r>
  <r>
    <x v="3"/>
    <x v="12"/>
    <s v="Погрузка"/>
    <x v="0"/>
    <n v="3300"/>
    <x v="53"/>
    <m/>
    <m/>
    <m/>
    <x v="43"/>
    <x v="3"/>
    <x v="0"/>
    <s v="СЖС"/>
    <m/>
    <n v="3299.9589999999998"/>
    <s v="т/х Дон Стар 8 ИМО 8884957/46018"/>
    <n v="2025"/>
    <s v="Декабрь"/>
    <n v="52"/>
    <n v="46018"/>
  </r>
  <r>
    <x v="5"/>
    <x v="12"/>
    <s v="Погрузка"/>
    <x v="0"/>
    <n v="4750"/>
    <x v="54"/>
    <m/>
    <m/>
    <m/>
    <x v="44"/>
    <x v="3"/>
    <x v="0"/>
    <s v="СЖС"/>
    <m/>
    <n v="4756.8789999999999"/>
    <s v="Волго-Дон 5079 ИМО 8852784/46019"/>
    <n v="2025"/>
    <s v="Декабрь"/>
    <n v="52"/>
    <n v="46019"/>
  </r>
  <r>
    <x v="10"/>
    <x v="8"/>
    <s v="Погрузка"/>
    <x v="0"/>
    <n v="4000"/>
    <x v="55"/>
    <m/>
    <m/>
    <m/>
    <x v="45"/>
    <x v="3"/>
    <x v="0"/>
    <s v="СЖС"/>
    <m/>
    <n v="3900"/>
    <s v="т/х Дон Стар 2 ИМО 7911480/46020"/>
    <n v="2025"/>
    <s v="Декабрь"/>
    <n v="1"/>
    <n v="46020"/>
  </r>
  <r>
    <x v="7"/>
    <x v="12"/>
    <s v="Погрузка"/>
    <x v="0"/>
    <n v="3300"/>
    <x v="56"/>
    <m/>
    <m/>
    <m/>
    <x v="46"/>
    <x v="3"/>
    <x v="0"/>
    <s v="СЖС"/>
    <m/>
    <n v="3300.549"/>
    <s v="т/х Дон Стар 5 ИМО 8955469/46022"/>
    <n v="2025"/>
    <s v="Декабрь"/>
    <n v="1"/>
    <n v="46022"/>
  </r>
  <r>
    <x v="0"/>
    <x v="12"/>
    <s v="Погрузка"/>
    <x v="0"/>
    <n v="3300"/>
    <x v="57"/>
    <m/>
    <m/>
    <m/>
    <x v="47"/>
    <x v="3"/>
    <x v="0"/>
    <s v="СЖС"/>
    <m/>
    <n v="3251.2559999999999"/>
    <s v="т/х Дон Стар 6 ИМО 8951396/46025"/>
    <n v="2026"/>
    <s v="Январь"/>
    <n v="1"/>
    <n v="46025"/>
  </r>
  <r>
    <x v="11"/>
    <x v="12"/>
    <s v="Погрузка"/>
    <x v="0"/>
    <n v="4200"/>
    <x v="58"/>
    <m/>
    <m/>
    <m/>
    <x v="48"/>
    <x v="3"/>
    <x v="0"/>
    <s v="СЖС"/>
    <m/>
    <n v="4196.6220000000003"/>
    <s v="т/х Волго-Дон 217 ИМО 8946377/46021"/>
    <n v="2025"/>
    <s v="Декабрь"/>
    <n v="1"/>
    <n v="46021"/>
  </r>
  <r>
    <x v="12"/>
    <x v="12"/>
    <s v="Погрузка"/>
    <x v="0"/>
    <n v="4200"/>
    <x v="59"/>
    <m/>
    <m/>
    <m/>
    <x v="49"/>
    <x v="3"/>
    <x v="0"/>
    <s v="СЖС"/>
    <m/>
    <n v="4159.9269999999997"/>
    <s v="т/х В.Успенский   ИМО 8946389/46030"/>
    <n v="2026"/>
    <s v="Январь"/>
    <n v="2"/>
    <n v="46030"/>
  </r>
  <r>
    <x v="2"/>
    <x v="8"/>
    <s v="Погрузка"/>
    <x v="0"/>
    <n v="4000"/>
    <x v="60"/>
    <m/>
    <m/>
    <m/>
    <x v="47"/>
    <x v="6"/>
    <x v="1"/>
    <m/>
    <m/>
    <n v="3992.37"/>
    <s v="т/х Дон Стар 3 ИМО 7911507/46025"/>
    <n v="2026"/>
    <s v="Январь"/>
    <n v="1"/>
    <n v="46025"/>
  </r>
  <r>
    <x v="13"/>
    <x v="8"/>
    <s v="Погрузка"/>
    <x v="0"/>
    <n v="5000"/>
    <x v="61"/>
    <m/>
    <m/>
    <m/>
    <x v="46"/>
    <x v="7"/>
    <x v="0"/>
    <m/>
    <m/>
    <n v="4750.28"/>
    <s v=" т/х Н.Мешков ИМО 8862507/46022"/>
    <n v="2025"/>
    <s v="Декабрь"/>
    <n v="1"/>
    <n v="46022"/>
  </r>
  <r>
    <x v="1"/>
    <x v="12"/>
    <s v="Погрузка"/>
    <x v="0"/>
    <n v="4000"/>
    <x v="62"/>
    <m/>
    <m/>
    <m/>
    <x v="50"/>
    <x v="3"/>
    <x v="0"/>
    <s v="СЖС"/>
    <m/>
    <n v="4055.2460000000001"/>
    <s v="т/х Дон Стар 4 ИМО 7911478/46035"/>
    <n v="2026"/>
    <s v="Январь"/>
    <n v="3"/>
    <n v="46035"/>
  </r>
  <r>
    <x v="6"/>
    <x v="12"/>
    <s v="Погрузка"/>
    <x v="0"/>
    <n v="3300"/>
    <x v="63"/>
    <m/>
    <m/>
    <m/>
    <x v="51"/>
    <x v="3"/>
    <x v="0"/>
    <s v="СЖС"/>
    <m/>
    <n v="3103.1849999999999"/>
    <s v="т/х Дон Стар 1 ИМО 8866735/46039"/>
    <n v="2026"/>
    <s v="Январь"/>
    <n v="3"/>
    <n v="46039"/>
  </r>
  <r>
    <x v="8"/>
    <x v="8"/>
    <s v="Погрузка"/>
    <x v="0"/>
    <n v="3300"/>
    <x v="64"/>
    <m/>
    <m/>
    <m/>
    <x v="50"/>
    <x v="7"/>
    <x v="0"/>
    <s v="СЖС"/>
    <m/>
    <n v="3029.04"/>
    <s v="т/х Дон Стар 7 ИМО 8844153/46035"/>
    <n v="2026"/>
    <s v="Январь"/>
    <n v="3"/>
    <n v="46035"/>
  </r>
  <r>
    <x v="10"/>
    <x v="9"/>
    <s v="Погрузка"/>
    <x v="0"/>
    <n v="4000"/>
    <x v="65"/>
    <m/>
    <m/>
    <m/>
    <x v="50"/>
    <x v="3"/>
    <x v="0"/>
    <m/>
    <m/>
    <n v="4011.3440000000001"/>
    <s v="т/х Дон Стар 2 ИМО 7911480/46035"/>
    <n v="2026"/>
    <s v="Январь"/>
    <n v="3"/>
    <n v="46035"/>
  </r>
  <r>
    <x v="7"/>
    <x v="8"/>
    <s v="Погрузка"/>
    <x v="0"/>
    <n v="3300"/>
    <x v="66"/>
    <m/>
    <m/>
    <m/>
    <x v="52"/>
    <x v="3"/>
    <x v="0"/>
    <m/>
    <m/>
    <n v="3008.0459999999998"/>
    <s v="т/х Дон Стар 5 ИМО 8955469/46049"/>
    <n v="2026"/>
    <s v="Январь"/>
    <n v="5"/>
    <n v="46049"/>
  </r>
  <r>
    <x v="0"/>
    <x v="4"/>
    <s v="Погрузка"/>
    <x v="0"/>
    <n v="3300"/>
    <x v="67"/>
    <m/>
    <m/>
    <m/>
    <x v="53"/>
    <x v="3"/>
    <x v="0"/>
    <m/>
    <m/>
    <n v="3080.8"/>
    <s v="т/х Дон Стар 6 ИМО 8951396/46038"/>
    <n v="2026"/>
    <s v="Январь"/>
    <n v="3"/>
    <n v="46038"/>
  </r>
  <r>
    <x v="14"/>
    <x v="13"/>
    <s v="Погрузка"/>
    <x v="0"/>
    <n v="5500"/>
    <x v="68"/>
    <m/>
    <m/>
    <m/>
    <x v="54"/>
    <x v="6"/>
    <x v="1"/>
    <m/>
    <m/>
    <n v="5267"/>
    <s v=" т/х Волжский 33 ИМО 8955641/46034"/>
    <n v="2026"/>
    <s v="Январь"/>
    <n v="3"/>
    <n v="46034"/>
  </r>
  <r>
    <x v="12"/>
    <x v="12"/>
    <s v="Погрузка"/>
    <x v="0"/>
    <n v="4200"/>
    <x v="69"/>
    <m/>
    <m/>
    <m/>
    <x v="55"/>
    <x v="3"/>
    <x v="0"/>
    <m/>
    <m/>
    <n v="4300.5600000000004"/>
    <s v="т/х В.Успенский   ИМО 8946389/46054"/>
    <n v="2026"/>
    <s v="Февраль"/>
    <n v="5"/>
    <n v="46054"/>
  </r>
  <r>
    <x v="1"/>
    <x v="8"/>
    <s v="Погрузка"/>
    <x v="0"/>
    <n v="4000"/>
    <x v="70"/>
    <m/>
    <m/>
    <m/>
    <x v="56"/>
    <x v="7"/>
    <x v="0"/>
    <m/>
    <m/>
    <n v="3123.0990000000002"/>
    <s v="т/х Дон Стар 4 ИМО 7911478/46056"/>
    <n v="2026"/>
    <s v="Февраль"/>
    <n v="6"/>
    <n v="46056"/>
  </r>
  <r>
    <x v="10"/>
    <x v="12"/>
    <s v="Погрузка"/>
    <x v="0"/>
    <n v="4000"/>
    <x v="71"/>
    <m/>
    <m/>
    <m/>
    <x v="52"/>
    <x v="3"/>
    <x v="0"/>
    <m/>
    <m/>
    <n v="4001.7570000000001"/>
    <s v="т/х Дон Стар 2 ИМО 7911480/46049"/>
    <n v="2026"/>
    <s v="Январь"/>
    <n v="5"/>
    <n v="46049"/>
  </r>
  <r>
    <x v="6"/>
    <x v="13"/>
    <s v="Погрузка"/>
    <x v="0"/>
    <n v="3300"/>
    <x v="72"/>
    <m/>
    <m/>
    <m/>
    <x v="57"/>
    <x v="6"/>
    <x v="1"/>
    <m/>
    <m/>
    <n v="3169.5"/>
    <s v="т/х Дон Стар 1 ИМО 8866735/46065"/>
    <n v="2026"/>
    <s v="Февраль"/>
    <n v="7"/>
    <n v="46065"/>
  </r>
  <r>
    <x v="2"/>
    <x v="14"/>
    <s v="Погрузка"/>
    <x v="1"/>
    <n v="4000"/>
    <x v="73"/>
    <m/>
    <m/>
    <m/>
    <x v="58"/>
    <x v="3"/>
    <x v="0"/>
    <m/>
    <m/>
    <n v="0"/>
    <s v="т/х Дон Стар 3 ИМО 7911507/"/>
    <s v="Нет Данных"/>
    <s v="Январь"/>
    <n v="52"/>
    <n v="1"/>
  </r>
  <r>
    <x v="7"/>
    <x v="12"/>
    <s v="Погрузка"/>
    <x v="0"/>
    <n v="3300"/>
    <x v="74"/>
    <m/>
    <m/>
    <m/>
    <x v="59"/>
    <x v="3"/>
    <x v="0"/>
    <m/>
    <m/>
    <n v="3299.5250000000001"/>
    <s v="т/х Дон Стар 5 ИМО 8955469/46067"/>
    <n v="2026"/>
    <s v="Февраль"/>
    <n v="7"/>
    <n v="46067"/>
  </r>
  <r>
    <x v="0"/>
    <x v="8"/>
    <s v="Погрузка"/>
    <x v="0"/>
    <n v="3300"/>
    <x v="75"/>
    <m/>
    <m/>
    <m/>
    <x v="60"/>
    <x v="6"/>
    <x v="0"/>
    <m/>
    <m/>
    <n v="2982.1010000000001"/>
    <s v="т/х Дон Стар 6 ИМО 8951396/46068"/>
    <n v="2026"/>
    <s v="Февраль"/>
    <n v="7"/>
    <n v="46068"/>
  </r>
  <r>
    <x v="10"/>
    <x v="12"/>
    <s v="Погрузка"/>
    <x v="0"/>
    <n v="4000"/>
    <x v="76"/>
    <m/>
    <m/>
    <m/>
    <x v="61"/>
    <x v="3"/>
    <x v="0"/>
    <m/>
    <m/>
    <n v="4034.2849999999999"/>
    <s v="т/х Дон Стар 2 ИМО 7911480/46069"/>
    <n v="2026"/>
    <s v="Февраль"/>
    <n v="8"/>
    <n v="46069"/>
  </r>
  <r>
    <x v="8"/>
    <x v="12"/>
    <s v="Погрузка"/>
    <x v="0"/>
    <n v="3300"/>
    <x v="77"/>
    <m/>
    <m/>
    <m/>
    <x v="62"/>
    <x v="3"/>
    <x v="0"/>
    <m/>
    <m/>
    <n v="3235.8980000000001"/>
    <s v="т/х Дон Стар 7 ИМО 8844153/46077"/>
    <n v="2026"/>
    <s v="Февраль"/>
    <n v="9"/>
    <n v="46077"/>
  </r>
  <r>
    <x v="11"/>
    <x v="12"/>
    <s v="Погрузка"/>
    <x v="0"/>
    <n v="4200"/>
    <x v="78"/>
    <m/>
    <m/>
    <m/>
    <x v="63"/>
    <x v="3"/>
    <x v="0"/>
    <m/>
    <m/>
    <n v="4268.1030000000001"/>
    <s v="т/х Волго-Дон 217 ИМО 8946377/46080"/>
    <n v="2026"/>
    <s v="Февраль"/>
    <n v="9"/>
    <n v="46080"/>
  </r>
  <r>
    <x v="7"/>
    <x v="8"/>
    <s v="Погрузка"/>
    <x v="0"/>
    <n v="3300"/>
    <x v="79"/>
    <m/>
    <m/>
    <m/>
    <x v="64"/>
    <x v="3"/>
    <x v="0"/>
    <m/>
    <m/>
    <n v="3300.1390000000001"/>
    <s v="т/х Дон Стар 5 ИМО 8955469/46082"/>
    <n v="2026"/>
    <s v="Март"/>
    <n v="9"/>
    <n v="46082"/>
  </r>
  <r>
    <x v="15"/>
    <x v="12"/>
    <s v="Погрузка"/>
    <x v="0"/>
    <n v="3000"/>
    <x v="80"/>
    <m/>
    <m/>
    <m/>
    <x v="64"/>
    <x v="3"/>
    <x v="0"/>
    <m/>
    <m/>
    <n v="2800.0630000000001"/>
    <s v="т/х Дон 7111420/46082"/>
    <n v="2026"/>
    <s v="Март"/>
    <n v="9"/>
    <n v="46082"/>
  </r>
  <r>
    <x v="10"/>
    <x v="12"/>
    <s v="Погрузка"/>
    <x v="0"/>
    <n v="4000"/>
    <x v="81"/>
    <m/>
    <m/>
    <m/>
    <x v="65"/>
    <x v="3"/>
    <x v="0"/>
    <m/>
    <m/>
    <n v="4001.598"/>
    <s v="т/х Дон Стар 2 ИМО 7911480/46081"/>
    <n v="2026"/>
    <s v="Февраль"/>
    <n v="9"/>
    <n v="46081"/>
  </r>
  <r>
    <x v="1"/>
    <x v="12"/>
    <s v="Погрузка"/>
    <x v="0"/>
    <n v="4000"/>
    <x v="82"/>
    <m/>
    <m/>
    <m/>
    <x v="66"/>
    <x v="3"/>
    <x v="0"/>
    <m/>
    <m/>
    <n v="4009.127"/>
    <s v="т/х Дон Стар 4 ИМО 7911478/46083"/>
    <n v="2026"/>
    <s v="Март"/>
    <n v="10"/>
    <n v="46083"/>
  </r>
  <r>
    <x v="16"/>
    <x v="12"/>
    <s v="Погрузка"/>
    <x v="0"/>
    <n v="3000"/>
    <x v="83"/>
    <m/>
    <m/>
    <m/>
    <x v="67"/>
    <x v="3"/>
    <x v="0"/>
    <m/>
    <m/>
    <n v="2879.7809999999999"/>
    <s v="т/х Астра Меридиан ИМО8721399/46086"/>
    <n v="2026"/>
    <s v="Март"/>
    <n v="10"/>
    <n v="46086"/>
  </r>
  <r>
    <x v="17"/>
    <x v="12"/>
    <s v="Погрузка"/>
    <x v="0"/>
    <n v="3500"/>
    <x v="84"/>
    <m/>
    <m/>
    <m/>
    <x v="68"/>
    <x v="3"/>
    <x v="0"/>
    <m/>
    <m/>
    <n v="3725.46"/>
    <s v="т/х Святой Спиридон ИМО9087104/46089"/>
    <n v="2026"/>
    <s v="Март"/>
    <n v="10"/>
    <n v="46089"/>
  </r>
  <r>
    <x v="12"/>
    <x v="12"/>
    <s v="Погрузка"/>
    <x v="0"/>
    <n v="4200"/>
    <x v="85"/>
    <m/>
    <m/>
    <m/>
    <x v="69"/>
    <x v="3"/>
    <x v="0"/>
    <m/>
    <m/>
    <n v="4600.24"/>
    <s v="т/х В.Успенский   ИМО 8946389/46088"/>
    <n v="2026"/>
    <s v="Март"/>
    <n v="10"/>
    <n v="46088"/>
  </r>
  <r>
    <x v="18"/>
    <x v="12"/>
    <s v="Погрузка"/>
    <x v="0"/>
    <n v="4800"/>
    <x v="86"/>
    <m/>
    <m/>
    <m/>
    <x v="69"/>
    <x v="3"/>
    <x v="0"/>
    <m/>
    <m/>
    <n v="4350.0519999999997"/>
    <s v="т/х Волго-Дон 5011 ИМО8951310/46088"/>
    <n v="2026"/>
    <s v="Март"/>
    <n v="10"/>
    <n v="46088"/>
  </r>
  <r>
    <x v="8"/>
    <x v="12"/>
    <s v="Погрузка"/>
    <x v="0"/>
    <n v="3300"/>
    <x v="87"/>
    <m/>
    <m/>
    <m/>
    <x v="70"/>
    <x v="3"/>
    <x v="0"/>
    <m/>
    <m/>
    <n v="3235.3490000000002"/>
    <s v="т/х Дон Стар 7 ИМО 8844153/46090"/>
    <n v="2026"/>
    <s v="Март"/>
    <n v="11"/>
    <n v="46090"/>
  </r>
  <r>
    <x v="5"/>
    <x v="12"/>
    <s v="Погрузка"/>
    <x v="0"/>
    <n v="4800"/>
    <x v="88"/>
    <m/>
    <m/>
    <m/>
    <x v="71"/>
    <x v="3"/>
    <x v="0"/>
    <m/>
    <m/>
    <n v="4751.2169999999996"/>
    <s v="Волго-Дон 5079 ИМО 8852784/46091"/>
    <n v="2026"/>
    <s v="Март"/>
    <n v="11"/>
    <n v="46091"/>
  </r>
  <r>
    <x v="7"/>
    <x v="12"/>
    <s v="Погрузка"/>
    <x v="0"/>
    <n v="3300"/>
    <x v="89"/>
    <m/>
    <m/>
    <m/>
    <x v="71"/>
    <x v="3"/>
    <x v="0"/>
    <m/>
    <m/>
    <n v="3301.9459999999999"/>
    <s v="т/х Дон Стар 5 ИМО 8955469/46091"/>
    <n v="2026"/>
    <s v="Март"/>
    <n v="11"/>
    <n v="46091"/>
  </r>
  <r>
    <x v="15"/>
    <x v="8"/>
    <s v="Погрузка"/>
    <x v="0"/>
    <n v="2800"/>
    <x v="90"/>
    <m/>
    <m/>
    <m/>
    <x v="70"/>
    <x v="3"/>
    <x v="0"/>
    <m/>
    <m/>
    <n v="2802.13"/>
    <s v="т/х Дон 7111420/46090"/>
    <n v="2026"/>
    <s v="Март"/>
    <n v="11"/>
    <n v="46090"/>
  </r>
  <r>
    <x v="10"/>
    <x v="12"/>
    <s v="Погрузка"/>
    <x v="0"/>
    <n v="4000"/>
    <x v="91"/>
    <m/>
    <m/>
    <m/>
    <x v="72"/>
    <x v="3"/>
    <x v="0"/>
    <m/>
    <m/>
    <n v="4019.038"/>
    <s v="т/х Дон Стар 2 ИМО 7911480/46093"/>
    <n v="2026"/>
    <s v="Март"/>
    <n v="11"/>
    <n v="46093"/>
  </r>
  <r>
    <x v="1"/>
    <x v="12"/>
    <s v="Погрузка"/>
    <x v="0"/>
    <n v="4000"/>
    <x v="92"/>
    <m/>
    <m/>
    <m/>
    <x v="73"/>
    <x v="3"/>
    <x v="0"/>
    <m/>
    <m/>
    <n v="4015.4270000000001"/>
    <s v="т/х Дон Стар 4 ИМО 7911478/46092"/>
    <n v="2026"/>
    <s v="Март"/>
    <n v="11"/>
    <n v="46092"/>
  </r>
  <r>
    <x v="6"/>
    <x v="12"/>
    <s v="Погрузка"/>
    <x v="2"/>
    <n v="3300"/>
    <x v="73"/>
    <m/>
    <m/>
    <m/>
    <x v="58"/>
    <x v="3"/>
    <x v="0"/>
    <m/>
    <m/>
    <n v="0"/>
    <s v="т/х Дон Стар 1 ИМО 8866735/"/>
    <s v="Нет Данных"/>
    <s v="Январь"/>
    <n v="52"/>
    <n v="1"/>
  </r>
  <r>
    <x v="19"/>
    <x v="8"/>
    <s v="Погрузка"/>
    <x v="0"/>
    <n v="4700"/>
    <x v="93"/>
    <m/>
    <m/>
    <m/>
    <x v="74"/>
    <x v="3"/>
    <x v="0"/>
    <m/>
    <m/>
    <n v="4610.7539999999999"/>
    <s v="т/х Волго-Дон 5043 ИМО8866321/46096"/>
    <n v="2026"/>
    <s v="Март"/>
    <n v="11"/>
    <n v="46096"/>
  </r>
  <r>
    <x v="20"/>
    <x v="12"/>
    <s v="Погрузка"/>
    <x v="0"/>
    <n v="2000"/>
    <x v="94"/>
    <m/>
    <m/>
    <m/>
    <x v="75"/>
    <x v="3"/>
    <x v="0"/>
    <m/>
    <m/>
    <n v="1971.59"/>
    <s v="т/х Абрамцево ИМО8947955/46101"/>
    <n v="2026"/>
    <s v="Март"/>
    <n v="12"/>
    <n v="46101"/>
  </r>
  <r>
    <x v="17"/>
    <x v="12"/>
    <s v="Погрузка"/>
    <x v="0"/>
    <n v="3700"/>
    <x v="95"/>
    <m/>
    <m/>
    <m/>
    <x v="76"/>
    <x v="3"/>
    <x v="0"/>
    <m/>
    <m/>
    <n v="3700.7159999999999"/>
    <s v="т/х Святой Спиридон ИМО9087104/46098"/>
    <n v="2026"/>
    <s v="Март"/>
    <n v="12"/>
    <n v="46098"/>
  </r>
  <r>
    <x v="12"/>
    <x v="1"/>
    <s v="Погрузка"/>
    <x v="0"/>
    <n v="4600"/>
    <x v="96"/>
    <m/>
    <m/>
    <m/>
    <x v="77"/>
    <x v="3"/>
    <x v="0"/>
    <m/>
    <m/>
    <n v="4680.1400000000003"/>
    <s v="т/х В.Успенский   ИМО 8946389/46100"/>
    <n v="2026"/>
    <s v="Март"/>
    <n v="12"/>
    <n v="46100"/>
  </r>
  <r>
    <x v="15"/>
    <x v="12"/>
    <s v="Погрузка"/>
    <x v="0"/>
    <n v="2800"/>
    <x v="97"/>
    <m/>
    <m/>
    <m/>
    <x v="74"/>
    <x v="3"/>
    <x v="0"/>
    <m/>
    <m/>
    <n v="2800.1619999999998"/>
    <s v="т/х Дон 7111420/46096"/>
    <n v="2026"/>
    <s v="Март"/>
    <n v="11"/>
    <n v="46096"/>
  </r>
  <r>
    <x v="8"/>
    <x v="4"/>
    <s v="Погрузка"/>
    <x v="0"/>
    <n v="3300"/>
    <x v="98"/>
    <m/>
    <m/>
    <m/>
    <x v="78"/>
    <x v="3"/>
    <x v="0"/>
    <m/>
    <m/>
    <n v="3207.54"/>
    <s v="т/х Дон Стар 7 ИМО 8844153/46102"/>
    <n v="2026"/>
    <s v="Март"/>
    <n v="12"/>
    <n v="46102"/>
  </r>
  <r>
    <x v="5"/>
    <x v="8"/>
    <s v="Погрузка"/>
    <x v="0"/>
    <n v="4700"/>
    <x v="99"/>
    <m/>
    <m/>
    <m/>
    <x v="79"/>
    <x v="3"/>
    <x v="0"/>
    <m/>
    <m/>
    <n v="4756.9629999999997"/>
    <s v="Волго-Дон 5079 ИМО 8852784/46099"/>
    <n v="2026"/>
    <s v="Март"/>
    <n v="12"/>
    <n v="46099"/>
  </r>
  <r>
    <x v="10"/>
    <x v="12"/>
    <s v="Погрузка"/>
    <x v="3"/>
    <n v="4000"/>
    <x v="100"/>
    <m/>
    <m/>
    <m/>
    <x v="80"/>
    <x v="3"/>
    <x v="0"/>
    <m/>
    <m/>
    <n v="4053.0749999999998"/>
    <s v="т/х Дон Стар 2 ИМО 7911480/46114"/>
    <n v="2026"/>
    <s v="Апрель"/>
    <n v="14"/>
    <n v="46114"/>
  </r>
  <r>
    <x v="1"/>
    <x v="8"/>
    <s v="Погрузка"/>
    <x v="4"/>
    <n v="4000"/>
    <x v="101"/>
    <m/>
    <m/>
    <m/>
    <x v="81"/>
    <x v="3"/>
    <x v="0"/>
    <m/>
    <m/>
    <n v="1346.396"/>
    <s v="т/х Дон Стар 4 ИМО 7911478/46113"/>
    <n v="2026"/>
    <s v="Апрель"/>
    <n v="14"/>
    <n v="46113"/>
  </r>
  <r>
    <x v="1"/>
    <x v="4"/>
    <s v="Догрузка1"/>
    <x v="4"/>
    <n v="3000"/>
    <x v="102"/>
    <m/>
    <m/>
    <m/>
    <x v="82"/>
    <x v="3"/>
    <x v="0"/>
    <m/>
    <m/>
    <n v="2675.78"/>
    <s v="т/х Дон Стар 4 ИМО 7911478/46117"/>
    <n v="2026"/>
    <s v="Апрель"/>
    <n v="14"/>
    <n v="46117"/>
  </r>
  <r>
    <x v="7"/>
    <x v="12"/>
    <s v="Погрузка"/>
    <x v="0"/>
    <n v="3300"/>
    <x v="103"/>
    <m/>
    <m/>
    <m/>
    <x v="83"/>
    <x v="3"/>
    <x v="0"/>
    <m/>
    <m/>
    <n v="2803.48"/>
    <s v="т/х Дон Стар 5 ИМО 8955469/46103"/>
    <n v="2026"/>
    <s v="Март"/>
    <n v="12"/>
    <n v="46103"/>
  </r>
  <r>
    <x v="15"/>
    <x v="12"/>
    <s v="Погрузка"/>
    <x v="0"/>
    <n v="2800"/>
    <x v="104"/>
    <m/>
    <m/>
    <m/>
    <x v="84"/>
    <x v="3"/>
    <x v="0"/>
    <m/>
    <m/>
    <n v="2812.44"/>
    <s v="т/х Дон 7111420/46106"/>
    <n v="2026"/>
    <s v="Март"/>
    <n v="13"/>
    <n v="46106"/>
  </r>
  <r>
    <x v="21"/>
    <x v="8"/>
    <s v="Погрузка"/>
    <x v="0"/>
    <n v="5000"/>
    <x v="105"/>
    <m/>
    <m/>
    <m/>
    <x v="85"/>
    <x v="3"/>
    <x v="0"/>
    <m/>
    <m/>
    <n v="5019.62"/>
    <s v="т/х Соммерс ИМО7111420/46104"/>
    <n v="2026"/>
    <s v="Март"/>
    <n v="13"/>
    <n v="46104"/>
  </r>
  <r>
    <x v="5"/>
    <x v="12"/>
    <s v="Погрузка"/>
    <x v="5"/>
    <n v="4700"/>
    <x v="106"/>
    <m/>
    <m/>
    <m/>
    <x v="82"/>
    <x v="3"/>
    <x v="0"/>
    <m/>
    <m/>
    <n v="4756.08"/>
    <s v="Волго-Дон 5079 ИМО 8852784/46117"/>
    <n v="2026"/>
    <s v="Апрель"/>
    <n v="14"/>
    <n v="46117"/>
  </r>
  <r>
    <x v="12"/>
    <x v="1"/>
    <s v="Погрузка"/>
    <x v="4"/>
    <n v="4600"/>
    <x v="107"/>
    <m/>
    <m/>
    <m/>
    <x v="86"/>
    <x v="3"/>
    <x v="0"/>
    <m/>
    <m/>
    <n v="4817.8059999999996"/>
    <s v="т/х В.Успенский   ИМО 8946389/46118"/>
    <n v="2026"/>
    <s v="Апрель"/>
    <n v="15"/>
    <n v="46118"/>
  </r>
  <r>
    <x v="17"/>
    <x v="12"/>
    <s v="Погрузка"/>
    <x v="0"/>
    <n v="3700"/>
    <x v="108"/>
    <m/>
    <m/>
    <m/>
    <x v="87"/>
    <x v="3"/>
    <x v="0"/>
    <m/>
    <m/>
    <n v="3668.1"/>
    <s v="т/х Святой Спиридон ИМО9087104/46109"/>
    <n v="2026"/>
    <s v="Март"/>
    <n v="13"/>
    <n v="46109"/>
  </r>
  <r>
    <x v="22"/>
    <x v="8"/>
    <s v="Погрузка"/>
    <x v="0"/>
    <n v="4500"/>
    <x v="109"/>
    <m/>
    <m/>
    <m/>
    <x v="88"/>
    <x v="3"/>
    <x v="0"/>
    <m/>
    <m/>
    <n v="3761.5230000000001"/>
    <s v="т/х Линда1 ИМО8951334/46108"/>
    <n v="2026"/>
    <s v="Март"/>
    <n v="13"/>
    <n v="46108"/>
  </r>
  <r>
    <x v="22"/>
    <x v="12"/>
    <s v="Догрузка1"/>
    <x v="0"/>
    <n v="850"/>
    <x v="110"/>
    <m/>
    <m/>
    <m/>
    <x v="89"/>
    <x v="3"/>
    <x v="0"/>
    <m/>
    <m/>
    <n v="819.62099999999998"/>
    <s v="т/х Линда1 ИМО8951334/46110"/>
    <n v="2026"/>
    <s v="Март"/>
    <n v="13"/>
    <n v="46110"/>
  </r>
  <r>
    <x v="23"/>
    <x v="4"/>
    <s v="Погрузка"/>
    <x v="4"/>
    <n v="4800"/>
    <x v="111"/>
    <m/>
    <m/>
    <m/>
    <x v="81"/>
    <x v="3"/>
    <x v="0"/>
    <m/>
    <m/>
    <n v="4800"/>
    <s v="т/х Волго-Дон219 ИМО8959207/46113"/>
    <n v="2026"/>
    <s v="Апрель"/>
    <n v="14"/>
    <n v="46113"/>
  </r>
  <r>
    <x v="20"/>
    <x v="2"/>
    <s v="Погрузка"/>
    <x v="3"/>
    <n v="1970"/>
    <x v="73"/>
    <m/>
    <m/>
    <m/>
    <x v="58"/>
    <x v="3"/>
    <x v="0"/>
    <m/>
    <m/>
    <n v="0"/>
    <s v="т/х Абрамцево ИМО8947955/"/>
    <s v="Нет Данных"/>
    <s v="Январь"/>
    <n v="52"/>
    <n v="1"/>
  </r>
  <r>
    <x v="8"/>
    <x v="15"/>
    <s v="Погрузка"/>
    <x v="2"/>
    <n v="3300"/>
    <x v="73"/>
    <m/>
    <m/>
    <m/>
    <x v="58"/>
    <x v="3"/>
    <x v="0"/>
    <m/>
    <m/>
    <n v="0"/>
    <s v="т/х Дон Стар 7 ИМО 8844153/"/>
    <s v="Нет Данных"/>
    <s v="Январь"/>
    <n v="52"/>
    <n v="1"/>
  </r>
  <r>
    <x v="7"/>
    <x v="15"/>
    <s v="Погрузка"/>
    <x v="2"/>
    <n v="3300"/>
    <x v="73"/>
    <m/>
    <m/>
    <m/>
    <x v="58"/>
    <x v="3"/>
    <x v="0"/>
    <m/>
    <m/>
    <n v="0"/>
    <s v="т/х Дон Стар 5 ИМО 8955469/"/>
    <s v="Нет Данных"/>
    <s v="Январь"/>
    <n v="52"/>
    <n v="1"/>
  </r>
  <r>
    <x v="3"/>
    <x v="2"/>
    <s v="Погрузка"/>
    <x v="6"/>
    <n v="3300"/>
    <x v="73"/>
    <m/>
    <m/>
    <m/>
    <x v="58"/>
    <x v="3"/>
    <x v="0"/>
    <m/>
    <m/>
    <n v="0"/>
    <s v="т/х Дон Стар 8 ИМО 8884957/"/>
    <s v="Нет Данных"/>
    <s v="Январь"/>
    <n v="52"/>
    <n v="1"/>
  </r>
  <r>
    <x v="15"/>
    <x v="2"/>
    <s v="Погрузка"/>
    <x v="4"/>
    <n v="2600"/>
    <x v="112"/>
    <m/>
    <m/>
    <m/>
    <x v="82"/>
    <x v="3"/>
    <x v="0"/>
    <m/>
    <m/>
    <n v="2458.91"/>
    <s v="т/х Дон 7111420/46117"/>
    <n v="2026"/>
    <s v="Апрель"/>
    <n v="14"/>
    <n v="461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Сводная таблица1" cacheId="99" applyNumberFormats="0" applyBorderFormats="0" applyFontFormats="0" applyPatternFormats="0" applyAlignmentFormats="0" applyWidthHeightFormats="1" dataCaption="Значения" tag="709a9bb8-5515-4319-a4d8-29195168cf90" updatedVersion="6" minRefreshableVersion="3" showDrill="0" subtotalHiddenItems="1" itemPrintTitles="1" createdVersion="5" indent="0" compact="0" compactData="0" multipleFieldFilters="0">
  <location ref="B8:I61" firstHeaderRow="1" firstDataRow="1" firstDataCol="7"/>
  <pivotFields count="14">
    <pivotField axis="axisRow" compact="0" allDrilled="1" outline="0" showAll="0" defaultSubtotal="0" defaultAttributeDrillState="1">
      <items count="5">
        <item x="4"/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Речное судно " axis="axisRow" compact="0" allDrilled="1" outline="0" showAll="0" defaultSubtotal="0" defaultAttributeDrillState="1">
      <items count="15">
        <item x="0"/>
        <item x="3"/>
        <item x="5"/>
        <item x="13"/>
        <item x="4"/>
        <item x="7"/>
        <item x="6"/>
        <item x="11"/>
        <item x="12"/>
        <item x="14"/>
        <item x="8"/>
        <item x="1"/>
        <item x="9"/>
        <item x="1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Дата  составления  B\L речника" axis="axisRow" compact="0" allDrilled="1" outline="0" showAll="0" defaultSubtotal="0" defaultAttributeDrillState="1">
      <items count="38">
        <item x="22"/>
        <item x="36"/>
        <item x="35"/>
        <item x="37"/>
        <item x="33"/>
        <item x="9"/>
        <item x="10"/>
        <item x="11"/>
        <item x="5"/>
        <item x="12"/>
        <item x="13"/>
        <item x="14"/>
        <item x="15"/>
        <item x="16"/>
        <item x="17"/>
        <item x="18"/>
        <item x="19"/>
        <item x="20"/>
        <item x="21"/>
        <item x="23"/>
        <item x="0"/>
        <item x="1"/>
        <item x="2"/>
        <item x="3"/>
        <item x="4"/>
        <item x="6"/>
        <item x="7"/>
        <item x="8"/>
        <item x="24"/>
        <item x="25"/>
        <item x="26"/>
        <item x="27"/>
        <item x="28"/>
        <item x="29"/>
        <item x="30"/>
        <item x="3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Вес по  B\L речника" axis="axisRow" compact="0" allDrilled="1" outline="0" showAll="0" dataSourceSort="1" defaultSubtotal="0" defaultAttributeDrillState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Отправитель.Моряк "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Отправитель. Речник"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dataSourceSort="1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6"/>
    <field x="1"/>
    <field x="2"/>
    <field x="7"/>
    <field x="4"/>
    <field x="5"/>
  </rowFields>
  <rowItems count="53">
    <i>
      <x/>
      <x/>
      <x/>
      <x v="1"/>
      <x/>
      <x v="4"/>
      <x v="39"/>
    </i>
    <i r="3">
      <x/>
      <x/>
      <x v="21"/>
      <x v="1"/>
    </i>
    <i r="2">
      <x v="1"/>
      <x/>
      <x/>
      <x v="1"/>
      <x v="43"/>
    </i>
    <i r="3">
      <x v="3"/>
      <x/>
      <x v="31"/>
      <x v="44"/>
    </i>
    <i r="2">
      <x v="5"/>
      <x/>
      <x/>
      <x v="2"/>
      <x v="42"/>
    </i>
    <i r="2">
      <x v="6"/>
      <x/>
      <x/>
      <x v="37"/>
      <x v="40"/>
    </i>
    <i r="2">
      <x v="7"/>
      <x/>
      <x/>
      <x/>
      <x v="24"/>
    </i>
    <i r="5">
      <x v="31"/>
      <x v="32"/>
    </i>
    <i r="2">
      <x v="8"/>
      <x/>
      <x/>
      <x v="3"/>
      <x v="45"/>
    </i>
    <i r="2">
      <x v="9"/>
      <x v="1"/>
      <x/>
      <x v="2"/>
      <x v="41"/>
    </i>
    <i r="2">
      <x v="14"/>
      <x/>
      <x/>
      <x v="23"/>
      <x v="3"/>
    </i>
    <i>
      <x v="1"/>
      <x/>
      <x v="1"/>
      <x/>
      <x/>
      <x v="8"/>
      <x v="5"/>
    </i>
    <i r="5">
      <x v="9"/>
      <x v="12"/>
    </i>
    <i r="5">
      <x v="10"/>
      <x v="13"/>
    </i>
    <i r="2">
      <x v="2"/>
      <x/>
      <x/>
      <x v="13"/>
      <x v="17"/>
    </i>
    <i r="2">
      <x v="4"/>
      <x v="1"/>
      <x/>
      <x v="8"/>
      <x v="14"/>
    </i>
    <i r="3">
      <x/>
      <x/>
      <x v="11"/>
      <x v="15"/>
    </i>
    <i r="2">
      <x v="5"/>
      <x/>
      <x/>
      <x v="7"/>
      <x v="11"/>
    </i>
    <i r="2">
      <x v="6"/>
      <x/>
      <x/>
      <x v="5"/>
      <x v="9"/>
    </i>
    <i r="2">
      <x v="10"/>
      <x v="2"/>
      <x/>
      <x v="12"/>
      <x v="16"/>
    </i>
    <i r="2">
      <x v="11"/>
      <x/>
      <x/>
      <x v="6"/>
      <x v="10"/>
    </i>
    <i>
      <x v="2"/>
      <x/>
      <x/>
      <x/>
      <x/>
      <x v="14"/>
      <x v="18"/>
    </i>
    <i r="2">
      <x v="1"/>
      <x/>
      <x/>
      <x v="10"/>
      <x v="13"/>
    </i>
    <i r="2">
      <x v="2"/>
      <x/>
      <x/>
      <x v="17"/>
      <x v="27"/>
    </i>
    <i r="2">
      <x v="4"/>
      <x v="1"/>
      <x/>
      <x v="7"/>
      <x v="25"/>
    </i>
    <i r="3">
      <x/>
      <x/>
      <x v="14"/>
      <x v="26"/>
    </i>
    <i r="2">
      <x v="5"/>
      <x v="1"/>
      <x/>
      <x v="17"/>
      <x v="22"/>
    </i>
    <i r="2">
      <x v="6"/>
      <x/>
      <x/>
      <x v="16"/>
      <x v="20"/>
    </i>
    <i r="2">
      <x v="7"/>
      <x/>
      <x/>
      <x/>
      <x v="24"/>
    </i>
    <i r="5">
      <x v="18"/>
      <x v="23"/>
    </i>
    <i r="2">
      <x v="8"/>
      <x/>
      <x/>
      <x v="19"/>
      <x v="28"/>
    </i>
    <i r="2">
      <x v="12"/>
      <x/>
      <x/>
      <x v="15"/>
      <x v="19"/>
    </i>
    <i r="2">
      <x v="13"/>
      <x/>
      <x/>
      <x v="16"/>
      <x v="21"/>
    </i>
    <i>
      <x v="3"/>
      <x/>
      <x/>
      <x/>
      <x/>
      <x v="20"/>
      <x/>
    </i>
    <i r="5">
      <x v="21"/>
      <x v="1"/>
    </i>
    <i r="2">
      <x v="1"/>
      <x v="1"/>
      <x/>
      <x v="24"/>
      <x v="4"/>
    </i>
    <i r="3">
      <x/>
      <x/>
      <x v="8"/>
      <x v="5"/>
    </i>
    <i r="2">
      <x v="2"/>
      <x/>
      <x/>
      <x v="27"/>
      <x v="8"/>
    </i>
    <i r="2">
      <x v="4"/>
      <x/>
      <x/>
      <x v="25"/>
      <x v="6"/>
    </i>
    <i r="5">
      <x v="26"/>
      <x v="7"/>
    </i>
    <i r="2">
      <x v="11"/>
      <x/>
      <x/>
      <x v="22"/>
      <x v="2"/>
    </i>
    <i r="2">
      <x v="14"/>
      <x/>
      <x/>
      <x v="23"/>
      <x v="3"/>
    </i>
    <i>
      <x v="4"/>
      <x/>
      <x/>
      <x v="3"/>
      <x/>
      <x v="28"/>
      <x v="29"/>
    </i>
    <i r="2">
      <x v="2"/>
      <x/>
      <x/>
      <x v="34"/>
      <x v="36"/>
    </i>
    <i r="2">
      <x v="3"/>
      <x v="4"/>
      <x/>
      <x v="35"/>
      <x v="37"/>
    </i>
    <i r="3">
      <x/>
      <x/>
      <x v="36"/>
      <x v="38"/>
    </i>
    <i r="2">
      <x v="4"/>
      <x/>
      <x/>
      <x v="32"/>
      <x v="33"/>
    </i>
    <i r="2">
      <x v="7"/>
      <x/>
      <x/>
      <x v="30"/>
      <x v="31"/>
    </i>
    <i r="5">
      <x v="31"/>
      <x v="32"/>
    </i>
    <i r="2">
      <x v="10"/>
      <x/>
      <x/>
      <x v="30"/>
      <x v="34"/>
    </i>
    <i r="5">
      <x v="33"/>
      <x v="35"/>
    </i>
    <i r="2">
      <x v="14"/>
      <x/>
      <x/>
      <x v="29"/>
      <x v="30"/>
    </i>
    <i t="grand">
      <x/>
    </i>
  </rowItems>
  <colItems count="1">
    <i/>
  </colItems>
  <dataFields count="1">
    <dataField name=" Вес погр в Морское Судно " fld="3" baseField="2" baseItem="1" numFmtId="164"/>
  </dataFields>
  <formats count="65">
    <format dxfId="2887">
      <pivotArea dataOnly="0" labelOnly="1" outline="0" axis="axisValues" fieldPosition="0"/>
    </format>
    <format dxfId="2886">
      <pivotArea dataOnly="0" labelOnly="1" outline="0" axis="axisValues" fieldPosition="0"/>
    </format>
    <format dxfId="2885">
      <pivotArea dataOnly="0" labelOnly="1" outline="0" axis="axisValues" fieldPosition="0"/>
    </format>
    <format dxfId="2884">
      <pivotArea dataOnly="0" labelOnly="1" outline="0" axis="axisValues" fieldPosition="0"/>
    </format>
    <format dxfId="2883">
      <pivotArea field="4" type="button" dataOnly="0" labelOnly="1" outline="0" axis="axisRow" fieldPosition="5"/>
    </format>
    <format dxfId="2882">
      <pivotArea field="4" type="button" dataOnly="0" labelOnly="1" outline="0" axis="axisRow" fieldPosition="5"/>
    </format>
    <format dxfId="2881">
      <pivotArea field="5" type="button" dataOnly="0" labelOnly="1" outline="0" axis="axisRow" fieldPosition="6"/>
    </format>
    <format dxfId="2880">
      <pivotArea field="5" type="button" dataOnly="0" labelOnly="1" outline="0" axis="axisRow" fieldPosition="6"/>
    </format>
    <format dxfId="2879">
      <pivotArea field="5" type="button" dataOnly="0" labelOnly="1" outline="0" axis="axisRow" fieldPosition="6"/>
    </format>
    <format dxfId="2878">
      <pivotArea field="5" type="button" dataOnly="0" labelOnly="1" outline="0" axis="axisRow" fieldPosition="6"/>
    </format>
    <format dxfId="2877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76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3"/>
          </reference>
        </references>
      </pivotArea>
    </format>
    <format dxfId="2875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3"/>
          </reference>
        </references>
      </pivotArea>
    </format>
    <format dxfId="2874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2" count="1">
            <x v="0"/>
          </reference>
        </references>
      </pivotArea>
    </format>
    <format dxfId="2873">
      <pivotArea dataOnly="0" labelOnly="1" outline="0" fieldPosition="0">
        <references count="3">
          <reference field="0" count="0" selected="0"/>
          <reference field="1" count="1" selected="0">
            <x v="3"/>
          </reference>
          <reference field="2" count="2">
            <x v="0"/>
            <x v="4"/>
          </reference>
        </references>
      </pivotArea>
    </format>
    <format dxfId="2872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71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70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69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68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67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66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65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64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63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62">
      <pivotArea dataOnly="0" labelOnly="1" outline="0" fieldPosition="0">
        <references count="3">
          <reference field="0" count="0" selected="0"/>
          <reference field="1" count="1" selected="0">
            <x v="0"/>
          </reference>
          <reference field="2" count="1">
            <x v="0"/>
          </reference>
        </references>
      </pivotArea>
    </format>
    <format dxfId="2861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2">
            <x v="0"/>
            <x v="1"/>
          </reference>
        </references>
      </pivotArea>
    </format>
    <format dxfId="2860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0"/>
          </reference>
        </references>
      </pivotArea>
    </format>
    <format dxfId="2859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2">
            <x v="0"/>
            <x v="1"/>
          </reference>
        </references>
      </pivotArea>
    </format>
    <format dxfId="2858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0"/>
          </reference>
        </references>
      </pivotArea>
    </format>
    <format dxfId="2857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2" count="1">
            <x v="0"/>
          </reference>
        </references>
      </pivotArea>
    </format>
    <format dxfId="2856">
      <pivotArea dataOnly="0" labelOnly="1" outline="0" fieldPosition="0">
        <references count="3">
          <reference field="0" count="0" selected="0"/>
          <reference field="1" count="1" selected="0">
            <x v="4"/>
          </reference>
          <reference field="2" count="2">
            <x v="0"/>
            <x v="1"/>
          </reference>
        </references>
      </pivotArea>
    </format>
    <format dxfId="2855">
      <pivotArea dataOnly="0" labelOnly="1" outline="0" fieldPosition="0">
        <references count="3">
          <reference field="0" count="0" selected="0"/>
          <reference field="1" count="1" selected="0">
            <x v="5"/>
          </reference>
          <reference field="2" count="1">
            <x v="0"/>
          </reference>
        </references>
      </pivotArea>
    </format>
    <format dxfId="2854">
      <pivotArea field="2" type="button" dataOnly="0" labelOnly="1" outline="0" axis="axisRow" fieldPosition="3"/>
    </format>
    <format dxfId="2853">
      <pivotArea field="4" type="button" dataOnly="0" labelOnly="1" outline="0" axis="axisRow" fieldPosition="5"/>
    </format>
    <format dxfId="2852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2851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50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2849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2848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47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2846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2845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44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2843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2842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41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0"/>
          </reference>
          <reference field="6" count="0" selected="0"/>
        </references>
      </pivotArea>
    </format>
    <format dxfId="2840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0"/>
          </reference>
          <reference field="6" count="0" selected="0"/>
        </references>
      </pivotArea>
    </format>
    <format dxfId="2839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38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1"/>
          </reference>
          <reference field="6" count="0" selected="0"/>
        </references>
      </pivotArea>
    </format>
    <format dxfId="2837">
      <pivotArea dataOnly="0" labelOnly="1" outline="0" fieldPosition="0">
        <references count="4">
          <reference field="0" count="0" selected="0"/>
          <reference field="1" count="1" selected="0">
            <x v="6"/>
          </reference>
          <reference field="2" count="1">
            <x v="0"/>
          </reference>
          <reference field="6" count="0" selected="0"/>
        </references>
      </pivotArea>
    </format>
    <format dxfId="2836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0"/>
          </reference>
          <reference field="6" count="0" selected="0"/>
        </references>
      </pivotArea>
    </format>
    <format dxfId="2835">
      <pivotArea dataOnly="0" labelOnly="1" outline="0" fieldPosition="0">
        <references count="4">
          <reference field="0" count="0" selected="0"/>
          <reference field="1" count="1" selected="0">
            <x v="4"/>
          </reference>
          <reference field="2" count="2">
            <x v="0"/>
            <x v="1"/>
          </reference>
          <reference field="6" count="0" selected="0"/>
        </references>
      </pivotArea>
    </format>
    <format dxfId="2834">
      <pivotArea dataOnly="0" labelOnly="1" outline="0" fieldPosition="0">
        <references count="4">
          <reference field="0" count="0" selected="0"/>
          <reference field="1" count="1" selected="0">
            <x v="5"/>
          </reference>
          <reference field="2" count="1">
            <x v="1"/>
          </reference>
          <reference field="6" count="0" selected="0"/>
        </references>
      </pivotArea>
    </format>
    <format dxfId="2833">
      <pivotArea dataOnly="0" labelOnly="1" outline="0" fieldPosition="0">
        <references count="4">
          <reference field="0" count="0" selected="0"/>
          <reference field="1" count="1" selected="0">
            <x v="6"/>
          </reference>
          <reference field="2" count="1">
            <x v="0"/>
          </reference>
          <reference field="6" count="0" selected="0"/>
        </references>
      </pivotArea>
    </format>
    <format dxfId="2832">
      <pivotArea dataOnly="0" labelOnly="1" outline="0" fieldPosition="0">
        <references count="3">
          <reference field="0" count="0" selected="0"/>
          <reference field="1" count="6">
            <x v="0"/>
            <x v="1"/>
            <x v="5"/>
            <x v="7"/>
            <x v="8"/>
            <x v="9"/>
          </reference>
          <reference field="6" count="0" selected="0"/>
        </references>
      </pivotArea>
    </format>
    <format dxfId="2831">
      <pivotArea dataOnly="0" labelOnly="1" outline="0" fieldPosition="0">
        <references count="4">
          <reference field="0" count="0" selected="0"/>
          <reference field="1" count="1" selected="0">
            <x v="0"/>
          </reference>
          <reference field="2" count="1">
            <x v="1"/>
          </reference>
          <reference field="6" count="0" selected="0"/>
        </references>
      </pivotArea>
    </format>
    <format dxfId="2830">
      <pivotArea dataOnly="0" labelOnly="1" outline="0" fieldPosition="0">
        <references count="4">
          <reference field="0" count="0" selected="0"/>
          <reference field="1" count="1" selected="0">
            <x v="1"/>
          </reference>
          <reference field="2" count="1">
            <x v="0"/>
          </reference>
          <reference field="6" count="0" selected="0"/>
        </references>
      </pivotArea>
    </format>
    <format dxfId="2829">
      <pivotArea dataOnly="0" labelOnly="1" outline="0" fieldPosition="0">
        <references count="4">
          <reference field="0" count="0" selected="0"/>
          <reference field="1" count="1" selected="0">
            <x v="9"/>
          </reference>
          <reference field="2" count="1">
            <x v="1"/>
          </reference>
          <reference field="6" count="0" selected="0"/>
        </references>
      </pivotArea>
    </format>
    <format dxfId="2828">
      <pivotArea dataOnly="0" labelOnly="1" outline="0" fieldPosition="0">
        <references count="6">
          <reference field="0" count="0" selected="0"/>
          <reference field="1" count="1" selected="0">
            <x v="0"/>
          </reference>
          <reference field="2" count="1" selected="0">
            <x v="1"/>
          </reference>
          <reference field="4" count="1">
            <x v="4"/>
          </reference>
          <reference field="6" count="0" selected="0"/>
          <reference field="7" count="0" selected="0"/>
        </references>
      </pivotArea>
    </format>
    <format dxfId="2827">
      <pivotArea dataOnly="0" labelOnly="1" outline="0" fieldPosition="0">
        <references count="6">
          <reference field="0" count="0" selected="0"/>
          <reference field="1" count="1" selected="0">
            <x v="1"/>
          </reference>
          <reference field="2" count="1" selected="0">
            <x v="0"/>
          </reference>
          <reference field="4" count="1">
            <x v="1"/>
          </reference>
          <reference field="6" count="0" selected="0"/>
          <reference field="7" count="0" selected="0"/>
        </references>
      </pivotArea>
    </format>
    <format dxfId="2826">
      <pivotArea dataOnly="0" labelOnly="1" outline="0" fieldPosition="0">
        <references count="6">
          <reference field="0" count="0" selected="0"/>
          <reference field="1" count="1" selected="0">
            <x v="5"/>
          </reference>
          <reference field="2" count="1" selected="0">
            <x v="0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  <format dxfId="2825">
      <pivotArea dataOnly="0" labelOnly="1" outline="0" fieldPosition="0">
        <references count="6">
          <reference field="0" count="0" selected="0"/>
          <reference field="1" count="1" selected="0">
            <x v="7"/>
          </reference>
          <reference field="2" count="1" selected="0">
            <x v="0"/>
          </reference>
          <reference field="4" count="1">
            <x v="0"/>
          </reference>
          <reference field="6" count="0" selected="0"/>
          <reference field="7" count="0" selected="0"/>
        </references>
      </pivotArea>
    </format>
    <format dxfId="2824">
      <pivotArea dataOnly="0" labelOnly="1" outline="0" fieldPosition="0">
        <references count="6">
          <reference field="0" count="0" selected="0"/>
          <reference field="1" count="1" selected="0">
            <x v="8"/>
          </reference>
          <reference field="2" count="1" selected="0">
            <x v="0"/>
          </reference>
          <reference field="4" count="1">
            <x v="3"/>
          </reference>
          <reference field="6" count="0" selected="0"/>
          <reference field="7" count="0" selected="0"/>
        </references>
      </pivotArea>
    </format>
    <format dxfId="2823">
      <pivotArea dataOnly="0" labelOnly="1" outline="0" fieldPosition="0">
        <references count="6">
          <reference field="0" count="0" selected="0"/>
          <reference field="1" count="1" selected="0">
            <x v="9"/>
          </reference>
          <reference field="2" count="1" selected="0">
            <x v="1"/>
          </reference>
          <reference field="4" count="1">
            <x v="2"/>
          </reference>
          <reference field="6" count="0" selected="0"/>
          <reference field="7" count="0" selected="0"/>
        </references>
      </pivotArea>
    </format>
  </formats>
  <pivotHierarchies count="60">
    <pivotHierarchy dragToData="1"/>
    <pivotHierarchy dragToData="1"/>
    <pivotHierarchy multipleItemSelectionAllowed="1" dragToData="1">
      <members count="1" level="1">
        <member name="[ТаблВыгрузка].[Операция].&amp;[Разгрузка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Речное судно "/>
    <pivotHierarchy dragToData="1"/>
    <pivotHierarchy dragToData="1"/>
    <pivotHierarchy dragToData="1"/>
    <pivotHierarchy dragToData="1"/>
    <pivotHierarchy multipleItemSelectionAllowed="1" dragToData="1" caption="Вес по  B\L речника"/>
    <pivotHierarchy dragToData="1"/>
    <pivotHierarchy dragToData="1"/>
    <pivotHierarchy dragToData="1"/>
    <pivotHierarchy multipleItemSelectionAllowed="1" dragToData="1" caption="Дата  составления  B\L речника"/>
    <pivotHierarchy dragToData="1"/>
    <pivotHierarchy dragToData="1" caption="Отправитель. Речник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multipleItemSelectionAllowed="1" dragToData="1"/>
    <pivotHierarchy multipleItemSelectionAllowed="1" dragToData="1"/>
    <pivotHierarchy dragToData="1" caption="Отправитель.Моряк 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 Вес погр в Морское Судно "/>
    <pivotHierarchy dragToData="1"/>
    <pivotHierarchy dragToData="1"/>
  </pivotHierarchies>
  <pivotTableStyleInfo name="PivotStyleLight16" showRowHeaders="1" showColHeaders="1" showRowStripes="0" showColStripes="0" showLastColumn="1"/>
  <rowHierarchiesUsage count="7">
    <rowHierarchyUsage hierarchyUsage="43"/>
    <rowHierarchyUsage hierarchyUsage="45"/>
    <rowHierarchyUsage hierarchyUsage="13"/>
    <rowHierarchyUsage hierarchyUsage="14"/>
    <rowHierarchyUsage hierarchyUsage="24"/>
    <rowHierarchyUsage hierarchyUsage="22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ПогрузкаМоряк]"/>
        <x15:activeTabTopLevelEntity name="[ТаблПогруз]"/>
        <x15:activeTabTopLevelEntity name="[ТаблВыгрузка]"/>
      </x15:pivotTableUISettings>
    </ext>
  </extLst>
</pivotTableDefinition>
</file>

<file path=xl/pivotTables/pivotTable2.xml><?xml version="1.0" encoding="utf-8"?>
<pivotTableDefinition xmlns="http://schemas.openxmlformats.org/spreadsheetml/2006/main" name="Сводная таблица1" cacheId="111" applyNumberFormats="0" applyBorderFormats="0" applyFontFormats="0" applyPatternFormats="0" applyAlignmentFormats="0" applyWidthHeightFormats="1" dataCaption="Значения" updatedVersion="6" minRefreshableVersion="3" showDrill="0" rowGrandTotals="0" itemPrintTitles="1" createdVersion="6" indent="0" compact="0" compactData="0" multipleFieldFilters="0">
  <location ref="A8:G13" firstHeaderRow="1" firstDataRow="1" firstDataCol="7"/>
  <pivotFields count="20">
    <pivotField axis="axisRow" compact="0" outline="0" subtotalTop="0" showAll="0" defaultSubtotal="0">
      <items count="26">
        <item x="9"/>
        <item x="14"/>
        <item x="13"/>
        <item x="8"/>
        <item x="11"/>
        <item h="1" x="23"/>
        <item x="1"/>
        <item h="1" x="10"/>
        <item x="15"/>
        <item x="16"/>
        <item x="4"/>
        <item x="6"/>
        <item x="2"/>
        <item x="0"/>
        <item x="18"/>
        <item x="17"/>
        <item x="3"/>
        <item m="1" x="25"/>
        <item x="5"/>
        <item x="19"/>
        <item x="20"/>
        <item x="7"/>
        <item m="1" x="24"/>
        <item x="21"/>
        <item x="22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DropDowns="0"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Вес по  B\L   мт" axis="axisRow" compact="0" outline="0" subtotalTop="0" showAll="0" defaultSubtotal="0">
      <items count="146">
        <item x="0"/>
        <item x="6"/>
        <item x="25"/>
        <item x="35"/>
        <item x="12"/>
        <item x="37"/>
        <item x="3"/>
        <item x="16"/>
        <item x="38"/>
        <item x="34"/>
        <item x="9"/>
        <item x="43"/>
        <item x="30"/>
        <item x="42"/>
        <item x="14"/>
        <item x="2"/>
        <item x="39"/>
        <item x="24"/>
        <item x="11"/>
        <item x="50"/>
        <item x="21"/>
        <item x="26"/>
        <item x="13"/>
        <item x="52"/>
        <item x="45"/>
        <item x="7"/>
        <item x="8"/>
        <item x="27"/>
        <item x="28"/>
        <item x="48"/>
        <item x="57"/>
        <item x="19"/>
        <item x="22"/>
        <item x="47"/>
        <item x="53"/>
        <item x="17"/>
        <item x="51"/>
        <item x="40"/>
        <item x="31"/>
        <item x="56"/>
        <item x="33"/>
        <item x="4"/>
        <item x="55"/>
        <item x="60"/>
        <item x="23"/>
        <item x="41"/>
        <item x="1"/>
        <item x="49"/>
        <item x="15"/>
        <item x="32"/>
        <item x="20"/>
        <item x="59"/>
        <item x="58"/>
        <item x="61"/>
        <item x="54"/>
        <item x="36"/>
        <item x="10"/>
        <item x="5"/>
        <item x="29"/>
        <item x="18"/>
        <item x="44"/>
        <item x="46"/>
        <item x="68"/>
        <item x="73"/>
        <item x="64"/>
        <item x="62"/>
        <item x="65"/>
        <item m="1" x="139"/>
        <item m="1" x="137"/>
        <item m="1" x="128"/>
        <item m="1" x="134"/>
        <item m="1" x="116"/>
        <item m="1" x="133"/>
        <item x="67"/>
        <item x="63"/>
        <item x="66"/>
        <item m="1" x="138"/>
        <item m="1" x="142"/>
        <item m="1" x="143"/>
        <item x="71"/>
        <item m="1" x="115"/>
        <item m="1" x="144"/>
        <item m="1" x="141"/>
        <item x="69"/>
        <item m="1" x="130"/>
        <item m="1" x="114"/>
        <item x="70"/>
        <item m="1" x="122"/>
        <item x="72"/>
        <item m="1" x="145"/>
        <item m="1" x="135"/>
        <item x="76"/>
        <item x="74"/>
        <item x="75"/>
        <item m="1" x="123"/>
        <item x="77"/>
        <item x="78"/>
        <item x="81"/>
        <item m="1" x="121"/>
        <item x="80"/>
        <item x="79"/>
        <item x="82"/>
        <item x="83"/>
        <item m="1" x="124"/>
        <item m="1" x="120"/>
        <item m="1" x="127"/>
        <item x="84"/>
        <item x="85"/>
        <item x="86"/>
        <item x="87"/>
        <item x="90"/>
        <item x="88"/>
        <item m="1" x="140"/>
        <item x="89"/>
        <item m="1" x="126"/>
        <item x="92"/>
        <item m="1" x="119"/>
        <item m="1" x="118"/>
        <item x="93"/>
        <item x="97"/>
        <item x="95"/>
        <item x="96"/>
        <item m="1" x="129"/>
        <item x="99"/>
        <item m="1" x="132"/>
        <item x="94"/>
        <item m="1" x="131"/>
        <item m="1" x="113"/>
        <item x="98"/>
        <item x="103"/>
        <item m="1" x="136"/>
        <item x="105"/>
        <item x="104"/>
        <item x="91"/>
        <item x="108"/>
        <item x="109"/>
        <item x="110"/>
        <item m="1" x="117"/>
        <item m="1" x="125"/>
        <item x="111"/>
        <item x="100"/>
        <item x="101"/>
        <item x="102"/>
        <item x="106"/>
        <item x="112"/>
        <item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sortType="ascending" defaultSubtotal="0">
      <items count="92">
        <item m="1" x="90"/>
        <item x="7"/>
        <item x="0"/>
        <item x="5"/>
        <item x="1"/>
        <item x="4"/>
        <item x="6"/>
        <item x="2"/>
        <item x="3"/>
        <item x="8"/>
        <item x="12"/>
        <item x="9"/>
        <item x="11"/>
        <item x="13"/>
        <item x="10"/>
        <item x="15"/>
        <item x="14"/>
        <item x="16"/>
        <item x="20"/>
        <item x="18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8"/>
        <item x="46"/>
        <item x="47"/>
        <item x="49"/>
        <item x="54"/>
        <item x="50"/>
        <item x="53"/>
        <item x="51"/>
        <item m="1" x="91"/>
        <item x="52"/>
        <item x="55"/>
        <item x="56"/>
        <item x="57"/>
        <item x="59"/>
        <item x="60"/>
        <item x="61"/>
        <item x="62"/>
        <item x="63"/>
        <item x="65"/>
        <item x="64"/>
        <item x="66"/>
        <item x="67"/>
        <item x="69"/>
        <item x="68"/>
        <item x="70"/>
        <item x="71"/>
        <item x="73"/>
        <item x="72"/>
        <item x="74"/>
        <item x="76"/>
        <item x="79"/>
        <item x="77"/>
        <item x="75"/>
        <item x="78"/>
        <item x="83"/>
        <item x="85"/>
        <item x="84"/>
        <item x="88"/>
        <item x="87"/>
        <item x="89"/>
        <item x="81"/>
        <item x="80"/>
        <item x="82"/>
        <item x="86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4"/>
        <item x="3"/>
        <item x="1"/>
        <item x="6"/>
        <item x="0"/>
        <item x="2"/>
        <item x="5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>
      <items count="4">
        <item x="0"/>
        <item x="1"/>
        <item m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ubtotalTop="0" showAll="0">
      <items count="5">
        <item m="1" x="3"/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>
      <items count="8">
        <item h="1" x="3"/>
        <item h="1" x="4"/>
        <item h="1" x="5"/>
        <item x="6"/>
        <item h="1" x="0"/>
        <item h="1" x="1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роизводственная неделя " axis="axisRow" showDropDowns="0" compact="0" numFmtId="1" outline="0" subtotalTop="0" showAll="0" sortType="ascending" defaultSubtotal="0">
      <items count="26">
        <item x="11"/>
        <item x="12"/>
        <item x="13"/>
        <item m="1" x="25"/>
        <item x="14"/>
        <item x="15"/>
        <item x="16"/>
        <item x="17"/>
        <item x="18"/>
        <item x="19"/>
        <item x="20"/>
        <item x="21"/>
        <item x="23"/>
        <item x="22"/>
        <item x="24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0"/>
    <field x="1"/>
    <field x="5"/>
    <field x="9"/>
    <field x="18"/>
    <field x="10"/>
    <field x="11"/>
  </rowFields>
  <rowItems count="5">
    <i>
      <x v="6"/>
      <x v="2"/>
      <x v="141"/>
      <x v="87"/>
      <x v="13"/>
      <x v="1"/>
      <x/>
    </i>
    <i r="1">
      <x v="19"/>
      <x v="142"/>
      <x v="89"/>
      <x v="13"/>
      <x v="1"/>
      <x/>
    </i>
    <i>
      <x v="8"/>
      <x v="6"/>
      <x v="144"/>
      <x v="89"/>
      <x v="13"/>
      <x v="1"/>
      <x/>
    </i>
    <i>
      <x v="18"/>
      <x v="4"/>
      <x v="143"/>
      <x v="89"/>
      <x v="13"/>
      <x v="1"/>
      <x/>
    </i>
    <i>
      <x v="25"/>
      <x v="11"/>
      <x v="145"/>
      <x v="90"/>
      <x v="14"/>
      <x v="1"/>
      <x/>
    </i>
  </rowItems>
  <colItems count="1">
    <i/>
  </colItems>
  <formats count="255">
    <format dxfId="2822">
      <pivotArea field="5" type="button" dataOnly="0" labelOnly="1" outline="0" axis="axisRow" fieldPosition="2"/>
    </format>
    <format dxfId="2821">
      <pivotArea field="0" type="button" dataOnly="0" labelOnly="1" outline="0" axis="axisRow" fieldPosition="0"/>
    </format>
    <format dxfId="2820">
      <pivotArea field="1" type="button" dataOnly="0" labelOnly="1" outline="0" axis="axisRow" fieldPosition="1"/>
    </format>
    <format dxfId="2819">
      <pivotArea field="5" type="button" dataOnly="0" labelOnly="1" outline="0" axis="axisRow" fieldPosition="2"/>
    </format>
    <format dxfId="2818">
      <pivotArea field="9" type="button" dataOnly="0" labelOnly="1" outline="0" axis="axisRow" fieldPosition="3"/>
    </format>
    <format dxfId="2817">
      <pivotArea field="11" type="button" dataOnly="0" labelOnly="1" outline="0" axis="axisRow" fieldPosition="6"/>
    </format>
    <format dxfId="2816">
      <pivotArea field="0" type="button" dataOnly="0" labelOnly="1" outline="0" axis="axisRow" fieldPosition="0"/>
    </format>
    <format dxfId="2815">
      <pivotArea field="1" type="button" dataOnly="0" labelOnly="1" outline="0" axis="axisRow" fieldPosition="1"/>
    </format>
    <format dxfId="2814">
      <pivotArea field="5" type="button" dataOnly="0" labelOnly="1" outline="0" axis="axisRow" fieldPosition="2"/>
    </format>
    <format dxfId="2813">
      <pivotArea field="9" type="button" dataOnly="0" labelOnly="1" outline="0" axis="axisRow" fieldPosition="3"/>
    </format>
    <format dxfId="2812">
      <pivotArea field="11" type="button" dataOnly="0" labelOnly="1" outline="0" axis="axisRow" fieldPosition="6"/>
    </format>
    <format dxfId="281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5" count="1">
            <x v="61"/>
          </reference>
        </references>
      </pivotArea>
    </format>
    <format dxfId="281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5" count="1">
            <x v="62"/>
          </reference>
        </references>
      </pivotArea>
    </format>
    <format dxfId="280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5" count="1">
            <x v="53"/>
          </reference>
        </references>
      </pivotArea>
    </format>
    <format dxfId="2808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2"/>
          </reference>
          <reference field="5" count="1">
            <x v="55"/>
          </reference>
        </references>
      </pivotArea>
    </format>
    <format dxfId="280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4"/>
          </reference>
          <reference field="5" count="2">
            <x v="54"/>
            <x v="60"/>
          </reference>
        </references>
      </pivotArea>
    </format>
    <format dxfId="2806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7"/>
          </reference>
          <reference field="5" count="1">
            <x v="57"/>
          </reference>
        </references>
      </pivotArea>
    </format>
    <format dxfId="2805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0"/>
          </reference>
          <reference field="5" count="1">
            <x v="58"/>
          </reference>
        </references>
      </pivotArea>
    </format>
    <format dxfId="2804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2"/>
          </reference>
          <reference field="5" count="1">
            <x v="56"/>
          </reference>
        </references>
      </pivotArea>
    </format>
    <format dxfId="2803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14"/>
          </reference>
          <reference field="5" count="1">
            <x v="59"/>
          </reference>
        </references>
      </pivotArea>
    </format>
    <format dxfId="2802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51"/>
          </reference>
        </references>
      </pivotArea>
    </format>
    <format dxfId="2801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5" count="1">
            <x v="52"/>
          </reference>
        </references>
      </pivotArea>
    </format>
    <format dxfId="2800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5" count="1">
            <x v="17"/>
          </reference>
        </references>
      </pivotArea>
    </format>
    <format dxfId="2799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13"/>
          </reference>
          <reference field="5" count="1">
            <x v="2"/>
          </reference>
        </references>
      </pivotArea>
    </format>
    <format dxfId="2798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14"/>
          </reference>
          <reference field="5" count="1">
            <x v="41"/>
          </reference>
        </references>
      </pivotArea>
    </format>
    <format dxfId="2797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0"/>
          </reference>
          <reference field="5" count="1">
            <x v="40"/>
          </reference>
        </references>
      </pivotArea>
    </format>
    <format dxfId="2796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5" count="3">
            <x v="36"/>
            <x v="37"/>
            <x v="63"/>
          </reference>
        </references>
      </pivotArea>
    </format>
    <format dxfId="279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14"/>
          </reference>
          <reference field="5" count="3">
            <x v="25"/>
            <x v="27"/>
            <x v="35"/>
          </reference>
        </references>
      </pivotArea>
    </format>
    <format dxfId="2794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5" count="1">
            <x v="42"/>
          </reference>
        </references>
      </pivotArea>
    </format>
    <format dxfId="279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9"/>
          </reference>
          <reference field="5" count="1">
            <x v="63"/>
          </reference>
        </references>
      </pivotArea>
    </format>
    <format dxfId="279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5" count="1">
            <x v="43"/>
          </reference>
        </references>
      </pivotArea>
    </format>
    <format dxfId="2791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6"/>
          </reference>
          <reference field="5" count="1">
            <x v="15"/>
          </reference>
        </references>
      </pivotArea>
    </format>
    <format dxfId="2790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14"/>
          </reference>
          <reference field="5" count="2">
            <x v="4"/>
            <x v="50"/>
          </reference>
        </references>
      </pivotArea>
    </format>
    <format dxfId="278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5" count="1">
            <x v="44"/>
          </reference>
        </references>
      </pivotArea>
    </format>
    <format dxfId="278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3">
            <x v="45"/>
            <x v="47"/>
            <x v="63"/>
          </reference>
        </references>
      </pivotArea>
    </format>
    <format dxfId="2787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1"/>
          </reference>
          <reference field="5" count="2">
            <x v="46"/>
            <x v="49"/>
          </reference>
        </references>
      </pivotArea>
    </format>
    <format dxfId="278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2"/>
          </reference>
          <reference field="5" count="1">
            <x v="48"/>
          </reference>
        </references>
      </pivotArea>
    </format>
    <format dxfId="2785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0"/>
          </reference>
          <reference field="5" count="3">
            <x v="14"/>
            <x v="21"/>
            <x v="26"/>
          </reference>
        </references>
      </pivotArea>
    </format>
    <format dxfId="2784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4"/>
          </reference>
          <reference field="5" count="4">
            <x v="11"/>
            <x v="19"/>
            <x v="39"/>
            <x v="63"/>
          </reference>
        </references>
      </pivotArea>
    </format>
    <format dxfId="2783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0"/>
          </reference>
          <reference field="5" count="2">
            <x v="1"/>
            <x v="3"/>
          </reference>
        </references>
      </pivotArea>
    </format>
    <format dxfId="278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1">
            <x v="31"/>
          </reference>
        </references>
      </pivotArea>
    </format>
    <format dxfId="278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4"/>
          </reference>
          <reference field="5" count="3">
            <x v="13"/>
            <x v="29"/>
            <x v="30"/>
          </reference>
        </references>
      </pivotArea>
    </format>
    <format dxfId="2780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5"/>
          </reference>
          <reference field="5" count="2">
            <x v="0"/>
            <x v="10"/>
          </reference>
        </references>
      </pivotArea>
    </format>
    <format dxfId="2779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5" count="1">
            <x v="63"/>
          </reference>
        </references>
      </pivotArea>
    </format>
    <format dxfId="2778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2"/>
          </reference>
          <reference field="5" count="1">
            <x v="18"/>
          </reference>
        </references>
      </pivotArea>
    </format>
    <format dxfId="2777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4"/>
          </reference>
          <reference field="5" count="2">
            <x v="9"/>
            <x v="28"/>
          </reference>
        </references>
      </pivotArea>
    </format>
    <format dxfId="277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5" count="1">
            <x v="16"/>
          </reference>
        </references>
      </pivotArea>
    </format>
    <format dxfId="277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5" count="2">
            <x v="12"/>
            <x v="63"/>
          </reference>
        </references>
      </pivotArea>
    </format>
    <format dxfId="277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2">
            <x v="23"/>
            <x v="24"/>
          </reference>
        </references>
      </pivotArea>
    </format>
    <format dxfId="2773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9"/>
          </reference>
          <reference field="5" count="1">
            <x v="32"/>
          </reference>
        </references>
      </pivotArea>
    </format>
    <format dxfId="277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4"/>
          </reference>
          <reference field="5" count="1">
            <x v="22"/>
          </reference>
        </references>
      </pivotArea>
    </format>
    <format dxfId="2771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0"/>
          </reference>
          <reference field="5" count="1">
            <x v="33"/>
          </reference>
        </references>
      </pivotArea>
    </format>
    <format dxfId="2770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1">
            <x v="5"/>
          </reference>
        </references>
      </pivotArea>
    </format>
    <format dxfId="2769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4"/>
          </reference>
          <reference field="5" count="3">
            <x v="8"/>
            <x v="34"/>
            <x v="63"/>
          </reference>
        </references>
      </pivotArea>
    </format>
    <format dxfId="2768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5" count="1">
            <x v="6"/>
          </reference>
        </references>
      </pivotArea>
    </format>
    <format dxfId="2767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0"/>
          </reference>
          <reference field="5" count="1">
            <x v="38"/>
          </reference>
        </references>
      </pivotArea>
    </format>
    <format dxfId="2766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3"/>
          </reference>
          <reference field="5" count="1">
            <x v="7"/>
          </reference>
        </references>
      </pivotArea>
    </format>
    <format dxfId="2765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14"/>
          </reference>
          <reference field="5" count="1">
            <x v="20"/>
          </reference>
        </references>
      </pivotArea>
    </format>
    <format dxfId="2764">
      <pivotArea dataOnly="0" labelOnly="1" outline="0" fieldPosition="0">
        <references count="2">
          <reference field="0" count="0" selected="0"/>
          <reference field="1" count="1">
            <x v="1"/>
          </reference>
        </references>
      </pivotArea>
    </format>
    <format dxfId="2763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5" count="1">
            <x v="62"/>
          </reference>
        </references>
      </pivotArea>
    </format>
    <format dxfId="2762">
      <pivotArea field="10" type="button" dataOnly="0" labelOnly="1" outline="0" axis="axisRow" fieldPosition="5"/>
    </format>
    <format dxfId="2761">
      <pivotArea field="9" type="button" dataOnly="0" labelOnly="1" outline="0" axis="axisRow" fieldPosition="3"/>
    </format>
    <format dxfId="2760">
      <pivotArea field="9" type="button" dataOnly="0" labelOnly="1" outline="0" axis="axisRow" fieldPosition="3"/>
    </format>
    <format dxfId="2759">
      <pivotArea dataOnly="0" labelOnly="1" outline="0" fieldPosition="0">
        <references count="1">
          <reference field="0" count="0"/>
        </references>
      </pivotArea>
    </format>
    <format dxfId="2758">
      <pivotArea dataOnly="0" labelOnly="1" outline="0" fieldPosition="0">
        <references count="2">
          <reference field="0" count="0" selected="0"/>
          <reference field="1" count="1">
            <x v="1"/>
          </reference>
        </references>
      </pivotArea>
    </format>
    <format dxfId="2757">
      <pivotArea dataOnly="0" labelOnly="1" outline="0" fieldPosition="0">
        <references count="3">
          <reference field="0" count="0" selected="0"/>
          <reference field="1" count="1" selected="0">
            <x v="1"/>
          </reference>
          <reference field="5" count="1">
            <x v="62"/>
          </reference>
        </references>
      </pivotArea>
    </format>
    <format dxfId="2756">
      <pivotArea field="9" type="button" dataOnly="0" labelOnly="1" outline="0" axis="axisRow" fieldPosition="3"/>
    </format>
    <format dxfId="2755">
      <pivotArea dataOnly="0" labelOnly="1" outline="0" fieldPosition="0">
        <references count="1">
          <reference field="0" count="2">
            <x v="2"/>
            <x v="3"/>
          </reference>
        </references>
      </pivotArea>
    </format>
    <format dxfId="275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75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5" count="1">
            <x v="53"/>
          </reference>
        </references>
      </pivotArea>
    </format>
    <format dxfId="2752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5" count="1">
            <x v="64"/>
          </reference>
        </references>
      </pivotArea>
    </format>
    <format dxfId="2751">
      <pivotArea dataOnly="0" labelOnly="1" outline="0" fieldPosition="0">
        <references count="1">
          <reference field="0" count="2">
            <x v="2"/>
            <x v="3"/>
          </reference>
        </references>
      </pivotArea>
    </format>
    <format dxfId="2750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274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5" count="1">
            <x v="53"/>
          </reference>
        </references>
      </pivotArea>
    </format>
    <format dxfId="274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5" count="1">
            <x v="64"/>
          </reference>
        </references>
      </pivotArea>
    </format>
    <format dxfId="2747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5" count="1">
            <x v="64"/>
          </reference>
        </references>
      </pivotArea>
    </format>
    <format dxfId="2746">
      <pivotArea dataOnly="0" labelOnly="1" outline="0" fieldPosition="0">
        <references count="2">
          <reference field="0" count="0" selected="0"/>
          <reference field="1" count="1">
            <x v="2"/>
          </reference>
        </references>
      </pivotArea>
    </format>
    <format dxfId="2745">
      <pivotArea dataOnly="0" labelOnly="1" outline="0" fieldPosition="0">
        <references count="2">
          <reference field="0" count="1" selected="0">
            <x v="7"/>
          </reference>
          <reference field="1" count="1">
            <x v="9"/>
          </reference>
        </references>
      </pivotArea>
    </format>
    <format dxfId="2744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9"/>
          </reference>
          <reference field="5" count="1">
            <x v="66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1">
            <x v="65"/>
          </reference>
        </references>
      </pivotArea>
    </format>
    <format dxfId="274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/>
        </references>
      </pivotArea>
    </format>
    <format dxfId="2740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 selected="0"/>
          <reference field="10" count="1">
            <x v="1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/>
        </references>
      </pivotArea>
    </format>
    <format dxfId="273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/>
        </references>
      </pivotArea>
    </format>
    <format dxfId="273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9"/>
          </reference>
          <reference field="5" count="1">
            <x v="66"/>
          </reference>
        </references>
      </pivotArea>
    </format>
    <format dxfId="273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1">
            <x v="65"/>
          </reference>
        </references>
      </pivotArea>
    </format>
    <format dxfId="2735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 selected="0"/>
          <reference field="10" count="1">
            <x v="1"/>
          </reference>
        </references>
      </pivotArea>
    </format>
    <format dxfId="2734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9"/>
          </reference>
          <reference field="5" count="1" selected="0">
            <x v="66"/>
          </reference>
          <reference field="9" count="0" selected="0"/>
          <reference field="10" count="1">
            <x v="1"/>
          </reference>
        </references>
      </pivotArea>
    </format>
    <format dxfId="2733">
      <pivotArea dataOnly="0" labelOnly="1" outline="0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2732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273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5" count="1">
            <x v="71"/>
          </reference>
        </references>
      </pivotArea>
    </format>
    <format dxfId="2730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1">
            <x v="72"/>
          </reference>
        </references>
      </pivotArea>
    </format>
    <format dxfId="2729">
      <pivotArea dataOnly="0" labelOnly="1" outline="0" fieldPosition="0">
        <references count="1">
          <reference field="5" count="0"/>
        </references>
      </pivotArea>
    </format>
    <format dxfId="2728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5" count="1">
            <x v="73"/>
          </reference>
        </references>
      </pivotArea>
    </format>
    <format dxfId="2727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5" count="1">
            <x v="74"/>
          </reference>
        </references>
      </pivotArea>
    </format>
    <format dxfId="2726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5" count="1">
            <x v="73"/>
          </reference>
        </references>
      </pivotArea>
    </format>
    <format dxfId="2725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1">
            <x v="72"/>
          </reference>
        </references>
      </pivotArea>
    </format>
    <format dxfId="272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63"/>
          </reference>
        </references>
      </pivotArea>
    </format>
    <format dxfId="2723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722">
      <pivotArea dataOnly="0" labelOnly="1" outline="0" fieldPosition="0">
        <references count="2">
          <reference field="0" count="1" selected="0">
            <x v="25"/>
          </reference>
          <reference field="1" count="1">
            <x v="4"/>
          </reference>
        </references>
      </pivotArea>
    </format>
    <format dxfId="2721">
      <pivotArea dataOnly="0" labelOnly="1" outline="0" fieldPosition="0">
        <references count="2">
          <reference field="0" count="1" selected="0">
            <x v="7"/>
          </reference>
          <reference field="1" count="1">
            <x v="9"/>
          </reference>
        </references>
      </pivotArea>
    </format>
    <format dxfId="2720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71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718">
      <pivotArea dataOnly="0" labelOnly="1" outline="0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2717">
      <pivotArea dataOnly="0" labelOnly="1" outline="0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2716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5" count="1">
            <x v="62"/>
          </reference>
        </references>
      </pivotArea>
    </format>
    <format dxfId="271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51"/>
          </reference>
        </references>
      </pivotArea>
    </format>
    <format dxfId="2714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5" count="1">
            <x v="74"/>
          </reference>
        </references>
      </pivotArea>
    </format>
    <format dxfId="271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9"/>
          </reference>
          <reference field="5" count="1">
            <x v="66"/>
          </reference>
        </references>
      </pivotArea>
    </format>
    <format dxfId="271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5" count="1">
            <x v="43"/>
          </reference>
        </references>
      </pivotArea>
    </format>
    <format dxfId="2711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1">
            <x v="65"/>
          </reference>
        </references>
      </pivotArea>
    </format>
    <format dxfId="2710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4"/>
          </reference>
          <reference field="5" count="1">
            <x v="30"/>
          </reference>
        </references>
      </pivotArea>
    </format>
    <format dxfId="2709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5" count="1">
            <x v="73"/>
          </reference>
        </references>
      </pivotArea>
    </format>
    <format dxfId="270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5" count="1">
            <x v="64"/>
          </reference>
        </references>
      </pivotArea>
    </format>
    <format dxfId="2707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1">
            <x v="72"/>
          </reference>
        </references>
      </pivotArea>
    </format>
    <format dxfId="2706">
      <pivotArea field="9" type="button" dataOnly="0" labelOnly="1" outline="0" axis="axisRow" fieldPosition="3"/>
    </format>
    <format dxfId="2705">
      <pivotArea field="9" type="button" dataOnly="0" labelOnly="1" outline="0" axis="axisRow" fieldPosition="3"/>
    </format>
    <format dxfId="2704">
      <pivotArea dataOnly="0" labelOnly="1" outline="0" fieldPosition="0">
        <references count="3">
          <reference field="0" count="1" selected="0">
            <x v="16"/>
          </reference>
          <reference field="1" count="1" selected="0">
            <x v="2"/>
          </reference>
          <reference field="5" count="1">
            <x v="75"/>
          </reference>
        </references>
      </pivotArea>
    </format>
    <format dxfId="2703">
      <pivotArea field="18" type="button" dataOnly="0" labelOnly="1" outline="0" axis="axisRow" fieldPosition="4"/>
    </format>
    <format dxfId="2702">
      <pivotArea dataOnly="0" labelOnly="1" outline="0" fieldPosition="0">
        <references count="1">
          <reference field="18" count="0"/>
        </references>
      </pivotArea>
    </format>
    <format dxfId="2701">
      <pivotArea dataOnly="0" labelOnly="1" outline="0" fieldPosition="0">
        <references count="2">
          <reference field="0" count="0" selected="0"/>
          <reference field="1" count="1">
            <x v="2"/>
          </reference>
        </references>
      </pivotArea>
    </format>
    <format dxfId="2700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5" count="1">
            <x v="75"/>
          </reference>
        </references>
      </pivotArea>
    </format>
    <format dxfId="2699">
      <pivotArea dataOnly="0" labelOnly="1" outline="0" fieldPosition="0">
        <references count="2">
          <reference field="0" count="0" selected="0"/>
          <reference field="1" count="1">
            <x v="2"/>
          </reference>
        </references>
      </pivotArea>
    </format>
    <format dxfId="2698">
      <pivotArea dataOnly="0" labelOnly="1" outline="0" fieldPosition="0">
        <references count="3">
          <reference field="0" count="0" selected="0"/>
          <reference field="1" count="1" selected="0">
            <x v="2"/>
          </reference>
          <reference field="5" count="1">
            <x v="75"/>
          </reference>
        </references>
      </pivotArea>
    </format>
    <format dxfId="269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83"/>
          </reference>
        </references>
      </pivotArea>
    </format>
    <format dxfId="269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1">
            <x v="79"/>
          </reference>
        </references>
      </pivotArea>
    </format>
    <format dxfId="2695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1">
            <x v="75"/>
          </reference>
        </references>
      </pivotArea>
    </format>
    <format dxfId="2694">
      <pivotArea dataOnly="0" labelOnly="1" outline="0" fieldPosition="0">
        <references count="3">
          <reference field="0" count="1" selected="0">
            <x v="18"/>
          </reference>
          <reference field="1" count="0" selected="0"/>
          <reference field="5" count="2">
            <x v="54"/>
            <x v="60"/>
          </reference>
        </references>
      </pivotArea>
    </format>
    <format dxfId="2693">
      <pivotArea dataOnly="0" labelOnly="1" outline="0" fieldPosition="0">
        <references count="3">
          <reference field="0" count="1" selected="0">
            <x v="25"/>
          </reference>
          <reference field="1" count="0" selected="0"/>
          <reference field="5" count="2">
            <x v="51"/>
            <x v="83"/>
          </reference>
        </references>
      </pivotArea>
    </format>
    <format dxfId="2692">
      <pivotArea dataOnly="0" labelOnly="1" outline="0" fieldPosition="0">
        <references count="3">
          <reference field="0" count="1" selected="0">
            <x v="4"/>
          </reference>
          <reference field="1" count="0" selected="0"/>
          <reference field="5" count="1">
            <x v="52"/>
          </reference>
        </references>
      </pivotArea>
    </format>
    <format dxfId="2691">
      <pivotArea dataOnly="0" labelOnly="1" outline="0" fieldPosition="0">
        <references count="3">
          <reference field="0" count="1" selected="0">
            <x v="11"/>
          </reference>
          <reference field="1" count="0" selected="0"/>
          <reference field="5" count="3">
            <x v="36"/>
            <x v="37"/>
            <x v="74"/>
          </reference>
        </references>
      </pivotArea>
    </format>
    <format dxfId="2690">
      <pivotArea dataOnly="0" labelOnly="1" outline="0" fieldPosition="0">
        <references count="3">
          <reference field="0" count="1" selected="0">
            <x v="7"/>
          </reference>
          <reference field="1" count="0" selected="0"/>
          <reference field="5" count="1">
            <x v="79"/>
          </reference>
        </references>
      </pivotArea>
    </format>
    <format dxfId="2689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3">
            <x v="45"/>
            <x v="47"/>
            <x v="65"/>
          </reference>
        </references>
      </pivotArea>
    </format>
    <format dxfId="2688">
      <pivotArea dataOnly="0" labelOnly="1" outline="0" fieldPosition="0">
        <references count="3">
          <reference field="0" count="1" selected="0">
            <x v="21"/>
          </reference>
          <reference field="1" count="0" selected="0"/>
          <reference field="5" count="3">
            <x v="11"/>
            <x v="19"/>
            <x v="39"/>
          </reference>
        </references>
      </pivotArea>
    </format>
    <format dxfId="2687">
      <pivotArea dataOnly="0" labelOnly="1" outline="0" fieldPosition="0">
        <references count="3">
          <reference field="0" count="1" selected="0">
            <x v="13"/>
          </reference>
          <reference field="1" count="0" selected="0"/>
          <reference field="5" count="3">
            <x v="13"/>
            <x v="29"/>
            <x v="30"/>
          </reference>
        </references>
      </pivotArea>
    </format>
    <format dxfId="2686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5" count="2">
            <x v="23"/>
            <x v="24"/>
          </reference>
        </references>
      </pivotArea>
    </format>
    <format dxfId="2685">
      <pivotArea dataOnly="0" labelOnly="1" outline="0" fieldPosition="0">
        <references count="3">
          <reference field="0" count="1" selected="0">
            <x v="16"/>
          </reference>
          <reference field="1" count="0" selected="0"/>
          <reference field="5" count="2">
            <x v="8"/>
            <x v="34"/>
          </reference>
        </references>
      </pivotArea>
    </format>
    <format dxfId="2684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1">
            <x v="86"/>
          </reference>
        </references>
      </pivotArea>
    </format>
    <format dxfId="2683">
      <pivotArea dataOnly="0" labelOnly="1" outline="0" fieldPosition="0">
        <references count="1">
          <reference field="0" count="1">
            <x v="11"/>
          </reference>
        </references>
      </pivotArea>
    </format>
    <format dxfId="2682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1">
            <x v="88"/>
          </reference>
        </references>
      </pivotArea>
    </format>
    <format dxfId="2680">
      <pivotArea dataOnly="0" labelOnly="1" outline="0" fieldPosition="0">
        <references count="1">
          <reference field="0" count="2">
            <x v="11"/>
            <x v="13"/>
          </reference>
        </references>
      </pivotArea>
    </format>
    <format dxfId="2679">
      <pivotArea dataOnly="0" labelOnly="1" outline="0" fieldPosition="0">
        <references count="2">
          <reference field="0" count="1" selected="0">
            <x v="11"/>
          </reference>
          <reference field="1" count="1">
            <x v="3"/>
          </reference>
        </references>
      </pivotArea>
    </format>
    <format dxfId="2678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83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5" count="1">
            <x v="96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1">
            <x v="88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2">
            <x v="91"/>
            <x v="97"/>
          </reference>
        </references>
      </pivotArea>
    </format>
    <format dxfId="2673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5" count="1">
            <x v="86"/>
          </reference>
        </references>
      </pivotArea>
    </format>
    <format dxfId="267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4"/>
          </reference>
          <reference field="5" count="1">
            <x v="92"/>
          </reference>
        </references>
      </pivotArea>
    </format>
    <format dxfId="2671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1">
            <x v="93"/>
          </reference>
        </references>
      </pivotArea>
    </format>
    <format dxfId="267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1">
            <x v="95"/>
          </reference>
        </references>
      </pivotArea>
    </format>
    <format dxfId="266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5" count="1">
            <x v="99"/>
          </reference>
        </references>
      </pivotArea>
    </format>
    <format dxfId="2668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83"/>
          </reference>
        </references>
      </pivotArea>
    </format>
    <format dxfId="266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5" count="1">
            <x v="96"/>
          </reference>
        </references>
      </pivotArea>
    </format>
    <format dxfId="2666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3"/>
          </reference>
          <reference field="5" count="1">
            <x v="88"/>
          </reference>
        </references>
      </pivotArea>
    </format>
    <format dxfId="2665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2">
            <x v="91"/>
            <x v="97"/>
          </reference>
        </references>
      </pivotArea>
    </format>
    <format dxfId="266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5" count="1">
            <x v="86"/>
          </reference>
        </references>
      </pivotArea>
    </format>
    <format dxfId="2663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4"/>
          </reference>
          <reference field="5" count="1">
            <x v="92"/>
          </reference>
        </references>
      </pivotArea>
    </format>
    <format dxfId="266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5" count="1">
            <x v="93"/>
          </reference>
        </references>
      </pivotArea>
    </format>
    <format dxfId="266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1">
            <x v="95"/>
          </reference>
        </references>
      </pivotArea>
    </format>
    <format dxfId="2660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5" count="1">
            <x v="99"/>
          </reference>
        </references>
      </pivotArea>
    </format>
    <format dxfId="2659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1">
            <x v="97"/>
          </reference>
        </references>
      </pivotArea>
    </format>
    <format dxfId="2658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1">
            <x v="100"/>
          </reference>
        </references>
      </pivotArea>
    </format>
    <format dxfId="265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1">
            <x v="97"/>
          </reference>
        </references>
      </pivotArea>
    </format>
    <format dxfId="265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1">
            <x v="100"/>
          </reference>
        </references>
      </pivotArea>
    </format>
    <format dxfId="2655">
      <pivotArea dataOnly="0" labelOnly="1" outline="0" fieldPosition="0">
        <references count="3">
          <reference field="0" count="1" selected="0">
            <x v="2"/>
          </reference>
          <reference field="1" count="0" selected="0"/>
          <reference field="5" count="1">
            <x v="53"/>
          </reference>
        </references>
      </pivotArea>
    </format>
    <format dxfId="2654">
      <pivotArea dataOnly="0" labelOnly="1" outline="0" fieldPosition="0">
        <references count="3">
          <reference field="0" count="1" selected="0">
            <x v="18"/>
          </reference>
          <reference field="1" count="0" selected="0"/>
          <reference field="5" count="1">
            <x v="55"/>
          </reference>
        </references>
      </pivotArea>
    </format>
    <format dxfId="2653">
      <pivotArea dataOnly="0" labelOnly="1" outline="0" fieldPosition="0">
        <references count="3">
          <reference field="0" count="1" selected="0">
            <x v="7"/>
          </reference>
          <reference field="1" count="0" selected="0"/>
          <reference field="5" count="1">
            <x v="42"/>
          </reference>
        </references>
      </pivotArea>
    </format>
    <format dxfId="2652">
      <pivotArea dataOnly="0" labelOnly="1" outline="0" fieldPosition="0">
        <references count="3">
          <reference field="0" count="1" selected="0">
            <x v="12"/>
          </reference>
          <reference field="1" count="0" selected="0"/>
          <reference field="5" count="1">
            <x v="43"/>
          </reference>
        </references>
      </pivotArea>
    </format>
    <format dxfId="2651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2">
            <x v="44"/>
            <x v="86"/>
          </reference>
        </references>
      </pivotArea>
    </format>
    <format dxfId="2650">
      <pivotArea dataOnly="0" labelOnly="1" outline="0" fieldPosition="0">
        <references count="3">
          <reference field="0" count="1" selected="0">
            <x v="21"/>
          </reference>
          <reference field="1" count="0" selected="0"/>
          <reference field="5" count="2">
            <x v="75"/>
            <x v="100"/>
          </reference>
        </references>
      </pivotArea>
    </format>
    <format dxfId="2649">
      <pivotArea dataOnly="0" labelOnly="1" outline="0" fieldPosition="0">
        <references count="3">
          <reference field="0" count="1" selected="0">
            <x v="13"/>
          </reference>
          <reference field="1" count="0" selected="0"/>
          <reference field="5" count="2">
            <x v="31"/>
            <x v="93"/>
          </reference>
        </references>
      </pivotArea>
    </format>
    <format dxfId="2648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5" count="2">
            <x v="12"/>
            <x v="64"/>
          </reference>
        </references>
      </pivotArea>
    </format>
    <format dxfId="2647">
      <pivotArea dataOnly="0" labelOnly="1" outline="0" fieldPosition="0">
        <references count="3">
          <reference field="0" count="1" selected="0">
            <x v="16"/>
          </reference>
          <reference field="1" count="0" selected="0"/>
          <reference field="5" count="1">
            <x v="5"/>
          </reference>
        </references>
      </pivotArea>
    </format>
    <format dxfId="2646">
      <pivotArea dataOnly="0" labelOnly="1" outline="0" fieldPosition="0">
        <references count="3">
          <reference field="0" count="1" selected="0">
            <x v="2"/>
          </reference>
          <reference field="1" count="0" selected="0"/>
          <reference field="5" count="1">
            <x v="53"/>
          </reference>
        </references>
      </pivotArea>
    </format>
    <format dxfId="2645">
      <pivotArea dataOnly="0" labelOnly="1" outline="0" fieldPosition="0">
        <references count="3">
          <reference field="0" count="1" selected="0">
            <x v="18"/>
          </reference>
          <reference field="1" count="0" selected="0"/>
          <reference field="5" count="1">
            <x v="55"/>
          </reference>
        </references>
      </pivotArea>
    </format>
    <format dxfId="2644">
      <pivotArea dataOnly="0" labelOnly="1" outline="0" fieldPosition="0">
        <references count="3">
          <reference field="0" count="1" selected="0">
            <x v="7"/>
          </reference>
          <reference field="1" count="0" selected="0"/>
          <reference field="5" count="1">
            <x v="42"/>
          </reference>
        </references>
      </pivotArea>
    </format>
    <format dxfId="2643">
      <pivotArea dataOnly="0" labelOnly="1" outline="0" fieldPosition="0">
        <references count="3">
          <reference field="0" count="1" selected="0">
            <x v="12"/>
          </reference>
          <reference field="1" count="0" selected="0"/>
          <reference field="5" count="1">
            <x v="43"/>
          </reference>
        </references>
      </pivotArea>
    </format>
    <format dxfId="2642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2">
            <x v="44"/>
            <x v="86"/>
          </reference>
        </references>
      </pivotArea>
    </format>
    <format dxfId="2641">
      <pivotArea dataOnly="0" labelOnly="1" outline="0" fieldPosition="0">
        <references count="3">
          <reference field="0" count="1" selected="0">
            <x v="21"/>
          </reference>
          <reference field="1" count="0" selected="0"/>
          <reference field="5" count="2">
            <x v="75"/>
            <x v="100"/>
          </reference>
        </references>
      </pivotArea>
    </format>
    <format dxfId="2640">
      <pivotArea dataOnly="0" labelOnly="1" outline="0" fieldPosition="0">
        <references count="3">
          <reference field="0" count="1" selected="0">
            <x v="13"/>
          </reference>
          <reference field="1" count="0" selected="0"/>
          <reference field="5" count="2">
            <x v="31"/>
            <x v="93"/>
          </reference>
        </references>
      </pivotArea>
    </format>
    <format dxfId="2639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5" count="2">
            <x v="12"/>
            <x v="64"/>
          </reference>
        </references>
      </pivotArea>
    </format>
    <format dxfId="2638">
      <pivotArea dataOnly="0" labelOnly="1" outline="0" fieldPosition="0">
        <references count="3">
          <reference field="0" count="1" selected="0">
            <x v="16"/>
          </reference>
          <reference field="1" count="0" selected="0"/>
          <reference field="5" count="1">
            <x v="5"/>
          </reference>
        </references>
      </pivotArea>
    </format>
    <format dxfId="263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107"/>
          </reference>
        </references>
      </pivotArea>
    </format>
    <format dxfId="2636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1">
            <x v="101"/>
          </reference>
        </references>
      </pivotArea>
    </format>
    <format dxfId="2635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1">
            <x v="100"/>
          </reference>
        </references>
      </pivotArea>
    </format>
    <format dxfId="263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1">
            <x v="109"/>
          </reference>
        </references>
      </pivotArea>
    </format>
    <format dxfId="2633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4"/>
          </reference>
          <reference field="5" count="1">
            <x v="102"/>
          </reference>
        </references>
      </pivotArea>
    </format>
    <format dxfId="263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1">
            <x v="110"/>
          </reference>
        </references>
      </pivotArea>
    </format>
    <format dxfId="263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5" count="1">
            <x v="99"/>
          </reference>
        </references>
      </pivotArea>
    </format>
    <format dxfId="2630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4"/>
          </reference>
          <reference field="5" count="1">
            <x v="106"/>
          </reference>
        </references>
      </pivotArea>
    </format>
    <format dxfId="262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4"/>
          </reference>
          <reference field="5" count="1">
            <x v="108"/>
          </reference>
        </references>
      </pivotArea>
    </format>
    <format dxfId="2628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4"/>
          </reference>
          <reference field="5" count="1">
            <x v="111"/>
          </reference>
        </references>
      </pivotArea>
    </format>
    <format dxfId="2627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107"/>
          </reference>
        </references>
      </pivotArea>
    </format>
    <format dxfId="262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1">
            <x v="109"/>
          </reference>
        </references>
      </pivotArea>
    </format>
    <format dxfId="262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1">
            <x v="110"/>
          </reference>
        </references>
      </pivotArea>
    </format>
    <format dxfId="2624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4"/>
          </reference>
          <reference field="5" count="1">
            <x v="106"/>
          </reference>
        </references>
      </pivotArea>
    </format>
    <format dxfId="2623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4"/>
          </reference>
          <reference field="5" count="1">
            <x v="108"/>
          </reference>
        </references>
      </pivotArea>
    </format>
    <format dxfId="2622">
      <pivotArea dataOnly="0" labelOnly="1" outline="0" fieldPosition="0">
        <references count="3">
          <reference field="0" count="1" selected="0">
            <x v="25"/>
          </reference>
          <reference field="1" count="0" selected="0"/>
          <reference field="5" count="1">
            <x v="107"/>
          </reference>
        </references>
      </pivotArea>
    </format>
    <format dxfId="2621">
      <pivotArea dataOnly="0" labelOnly="1" outline="0" fieldPosition="0">
        <references count="3">
          <reference field="0" count="1" selected="0">
            <x v="4"/>
          </reference>
          <reference field="1" count="0" selected="0"/>
          <reference field="5" count="1">
            <x v="96"/>
          </reference>
        </references>
      </pivotArea>
    </format>
    <format dxfId="2620">
      <pivotArea dataOnly="0" labelOnly="1" outline="0" fieldPosition="0">
        <references count="3">
          <reference field="0" count="1" selected="0">
            <x v="7"/>
          </reference>
          <reference field="1" count="0" selected="0"/>
          <reference field="5" count="1">
            <x v="97"/>
          </reference>
        </references>
      </pivotArea>
    </format>
    <format dxfId="2619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1">
            <x v="101"/>
          </reference>
        </references>
      </pivotArea>
    </format>
    <format dxfId="2618">
      <pivotArea dataOnly="0" labelOnly="1" outline="0" fieldPosition="0">
        <references count="3">
          <reference field="0" count="1" selected="0">
            <x v="21"/>
          </reference>
          <reference field="1" count="0" selected="0"/>
          <reference field="5" count="1">
            <x v="113"/>
          </reference>
        </references>
      </pivotArea>
    </format>
    <format dxfId="2617">
      <pivotArea dataOnly="0" labelOnly="1" outline="0" fieldPosition="0">
        <references count="3">
          <reference field="0" count="1" selected="0">
            <x v="14"/>
          </reference>
          <reference field="1" count="0" selected="0"/>
          <reference field="5" count="1">
            <x v="108"/>
          </reference>
        </references>
      </pivotArea>
    </format>
    <format dxfId="2616">
      <pivotArea dataOnly="0" labelOnly="1" outline="0" fieldPosition="0">
        <references count="3">
          <reference field="0" count="1" selected="0">
            <x v="15"/>
          </reference>
          <reference field="1" count="0" selected="0"/>
          <reference field="5" count="1">
            <x v="106"/>
          </reference>
        </references>
      </pivotArea>
    </format>
    <format dxfId="2615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5" count="2">
            <x v="95"/>
            <x v="109"/>
          </reference>
        </references>
      </pivotArea>
    </format>
    <format dxfId="2614">
      <pivotArea dataOnly="0" labelOnly="1" outline="0" fieldPosition="0">
        <references count="3">
          <reference field="0" count="1" selected="0">
            <x v="9"/>
          </reference>
          <reference field="1" count="0" selected="0"/>
          <reference field="5" count="1">
            <x v="102"/>
          </reference>
        </references>
      </pivotArea>
    </format>
    <format dxfId="2613">
      <pivotArea dataOnly="0" labelOnly="1" outline="0" fieldPosition="0">
        <references count="3">
          <reference field="0" count="1" selected="0">
            <x v="8"/>
          </reference>
          <reference field="1" count="0" selected="0"/>
          <reference field="5" count="1">
            <x v="99"/>
          </reference>
        </references>
      </pivotArea>
    </format>
    <format dxfId="2612">
      <pivotArea dataOnly="0" labelOnly="1" outline="0" fieldPosition="0">
        <references count="3">
          <reference field="0" count="1" selected="0">
            <x v="18"/>
          </reference>
          <reference field="1" count="0" selected="0"/>
          <reference field="5" count="1">
            <x v="111"/>
          </reference>
        </references>
      </pivotArea>
    </format>
    <format dxfId="2611">
      <pivotArea dataOnly="0" labelOnly="1" outline="0" fieldPosition="0">
        <references count="3">
          <reference field="0" count="1" selected="0">
            <x v="25"/>
          </reference>
          <reference field="1" count="0" selected="0"/>
          <reference field="5" count="1">
            <x v="107"/>
          </reference>
        </references>
      </pivotArea>
    </format>
    <format dxfId="2610">
      <pivotArea dataOnly="0" labelOnly="1" outline="0" fieldPosition="0">
        <references count="3">
          <reference field="0" count="1" selected="0">
            <x v="4"/>
          </reference>
          <reference field="1" count="0" selected="0"/>
          <reference field="5" count="1">
            <x v="96"/>
          </reference>
        </references>
      </pivotArea>
    </format>
    <format dxfId="2609">
      <pivotArea dataOnly="0" labelOnly="1" outline="0" fieldPosition="0">
        <references count="3">
          <reference field="0" count="1" selected="0">
            <x v="7"/>
          </reference>
          <reference field="1" count="0" selected="0"/>
          <reference field="5" count="1">
            <x v="97"/>
          </reference>
        </references>
      </pivotArea>
    </format>
    <format dxfId="2608">
      <pivotArea dataOnly="0" labelOnly="1" outline="0" fieldPosition="0">
        <references count="3">
          <reference field="0" count="1" selected="0">
            <x v="6"/>
          </reference>
          <reference field="1" count="0" selected="0"/>
          <reference field="5" count="1">
            <x v="101"/>
          </reference>
        </references>
      </pivotArea>
    </format>
    <format dxfId="2607">
      <pivotArea dataOnly="0" labelOnly="1" outline="0" fieldPosition="0">
        <references count="3">
          <reference field="0" count="1" selected="0">
            <x v="21"/>
          </reference>
          <reference field="1" count="0" selected="0"/>
          <reference field="5" count="1">
            <x v="113"/>
          </reference>
        </references>
      </pivotArea>
    </format>
    <format dxfId="2606">
      <pivotArea dataOnly="0" labelOnly="1" outline="0" fieldPosition="0">
        <references count="3">
          <reference field="0" count="1" selected="0">
            <x v="14"/>
          </reference>
          <reference field="1" count="0" selected="0"/>
          <reference field="5" count="1">
            <x v="108"/>
          </reference>
        </references>
      </pivotArea>
    </format>
    <format dxfId="2605">
      <pivotArea dataOnly="0" labelOnly="1" outline="0" fieldPosition="0">
        <references count="3">
          <reference field="0" count="1" selected="0">
            <x v="15"/>
          </reference>
          <reference field="1" count="0" selected="0"/>
          <reference field="5" count="1">
            <x v="106"/>
          </reference>
        </references>
      </pivotArea>
    </format>
    <format dxfId="2604">
      <pivotArea dataOnly="0" labelOnly="1" outline="0" fieldPosition="0">
        <references count="3">
          <reference field="0" count="1" selected="0">
            <x v="3"/>
          </reference>
          <reference field="1" count="0" selected="0"/>
          <reference field="5" count="2">
            <x v="95"/>
            <x v="109"/>
          </reference>
        </references>
      </pivotArea>
    </format>
    <format dxfId="2603">
      <pivotArea dataOnly="0" labelOnly="1" outline="0" fieldPosition="0">
        <references count="3">
          <reference field="0" count="1" selected="0">
            <x v="9"/>
          </reference>
          <reference field="1" count="0" selected="0"/>
          <reference field="5" count="1">
            <x v="102"/>
          </reference>
        </references>
      </pivotArea>
    </format>
    <format dxfId="2602">
      <pivotArea dataOnly="0" labelOnly="1" outline="0" fieldPosition="0">
        <references count="3">
          <reference field="0" count="1" selected="0">
            <x v="8"/>
          </reference>
          <reference field="1" count="0" selected="0"/>
          <reference field="5" count="1">
            <x v="99"/>
          </reference>
        </references>
      </pivotArea>
    </format>
    <format dxfId="2601">
      <pivotArea dataOnly="0" labelOnly="1" outline="0" fieldPosition="0">
        <references count="3">
          <reference field="0" count="1" selected="0">
            <x v="18"/>
          </reference>
          <reference field="1" count="0" selected="0"/>
          <reference field="5" count="1">
            <x v="111"/>
          </reference>
        </references>
      </pivotArea>
    </format>
    <format dxfId="2600">
      <pivotArea dataOnly="0" labelOnly="1" outline="0" fieldPosition="0">
        <references count="2">
          <reference field="0" count="1" selected="0">
            <x v="25"/>
          </reference>
          <reference field="1" count="1">
            <x v="11"/>
          </reference>
        </references>
      </pivotArea>
    </format>
    <format dxfId="2599">
      <pivotArea dataOnly="0" labelOnly="1" outline="0" fieldPosition="0">
        <references count="2">
          <reference field="0" count="1" selected="0">
            <x v="18"/>
          </reference>
          <reference field="1" count="1">
            <x v="2"/>
          </reference>
        </references>
      </pivotArea>
    </format>
    <format dxfId="259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5" count="1">
            <x v="109"/>
          </reference>
        </references>
      </pivotArea>
    </format>
    <format dxfId="259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9"/>
          </reference>
          <reference field="5" count="1">
            <x v="128"/>
          </reference>
        </references>
      </pivotArea>
    </format>
    <format dxfId="259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1">
            <x v="116"/>
          </reference>
        </references>
      </pivotArea>
    </format>
    <format dxfId="259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5" count="1">
            <x v="110"/>
          </reference>
        </references>
      </pivotArea>
    </format>
    <format dxfId="259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5" count="2">
            <x v="99"/>
            <x v="119"/>
          </reference>
        </references>
      </pivotArea>
    </format>
    <format dxfId="2593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5" count="2">
            <x v="101"/>
            <x v="115"/>
          </reference>
        </references>
      </pivotArea>
    </format>
    <format dxfId="2592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4"/>
          </reference>
          <reference field="5" count="1">
            <x v="102"/>
          </reference>
        </references>
      </pivotArea>
    </format>
    <format dxfId="259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4"/>
          </reference>
          <reference field="5" count="1">
            <x v="107"/>
          </reference>
        </references>
      </pivotArea>
    </format>
    <format dxfId="259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1"/>
          </reference>
          <reference field="5" count="1">
            <x v="121"/>
          </reference>
        </references>
      </pivotArea>
    </format>
    <format dxfId="258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4"/>
          </reference>
          <reference field="5" count="1">
            <x v="108"/>
          </reference>
        </references>
      </pivotArea>
    </format>
    <format dxfId="2588">
      <pivotArea dataOnly="0" labelOnly="1" outline="0" fieldPosition="0">
        <references count="3">
          <reference field="0" count="1" selected="0">
            <x v="15"/>
          </reference>
          <reference field="1" count="1" selected="0">
            <x v="4"/>
          </reference>
          <reference field="5" count="2">
            <x v="106"/>
            <x v="120"/>
          </reference>
        </references>
      </pivotArea>
    </format>
    <format dxfId="2587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2"/>
          </reference>
          <reference field="5" count="1">
            <x v="123"/>
          </reference>
        </references>
      </pivotArea>
    </format>
    <format dxfId="2586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4"/>
          </reference>
          <reference field="5" count="1">
            <x v="111"/>
          </reference>
        </references>
      </pivotArea>
    </format>
    <format dxfId="2585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2"/>
          </reference>
          <reference field="5" count="1">
            <x v="118"/>
          </reference>
        </references>
      </pivotArea>
    </format>
    <format dxfId="2584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5" count="1">
            <x v="125"/>
          </reference>
        </references>
      </pivotArea>
    </format>
    <format dxfId="2583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5" count="1">
            <x v="100"/>
          </reference>
        </references>
      </pivotArea>
    </format>
    <format dxfId="2582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4"/>
          </reference>
          <reference field="5" count="2">
            <x v="113"/>
            <x v="129"/>
          </reference>
        </references>
      </pivotArea>
    </format>
    <format dxfId="2581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2"/>
          </reference>
          <reference field="5" count="1">
            <x v="131"/>
          </reference>
        </references>
      </pivotArea>
    </format>
    <format dxfId="522">
      <pivotArea dataOnly="0" labelOnly="1" outline="0" fieldPosition="0">
        <references count="2">
          <reference field="0" count="1" selected="0">
            <x v="5"/>
          </reference>
          <reference field="1" count="1">
            <x v="19"/>
          </reference>
        </references>
      </pivotArea>
    </format>
    <format dxfId="521">
      <pivotArea dataOnly="0" labelOnly="1" outline="0" fieldPosition="0">
        <references count="2">
          <reference field="0" count="1" selected="0">
            <x v="6"/>
          </reference>
          <reference field="1" count="2">
            <x v="2"/>
            <x v="19"/>
          </reference>
        </references>
      </pivotArea>
    </format>
    <format dxfId="520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519">
      <pivotArea dataOnly="0" labelOnly="1" outline="0" fieldPosition="0">
        <references count="2">
          <reference field="0" count="1" selected="0">
            <x v="8"/>
          </reference>
          <reference field="1" count="1">
            <x v="6"/>
          </reference>
        </references>
      </pivotArea>
    </format>
    <format dxfId="518">
      <pivotArea dataOnly="0" labelOnly="1" outline="0" fieldPosition="0">
        <references count="2">
          <reference field="0" count="1" selected="0">
            <x v="18"/>
          </reference>
          <reference field="1" count="1">
            <x v="4"/>
          </reference>
        </references>
      </pivotArea>
    </format>
    <format dxfId="517">
      <pivotArea dataOnly="0" labelOnly="1" outline="0" fieldPosition="0">
        <references count="2">
          <reference field="0" count="1" selected="0">
            <x v="25"/>
          </reference>
          <reference field="1" count="1">
            <x v="11"/>
          </reference>
        </references>
      </pivotArea>
    </format>
    <format dxfId="51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9"/>
          </reference>
          <reference field="5" count="1">
            <x v="139"/>
          </reference>
        </references>
      </pivotArea>
    </format>
    <format dxfId="515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5" count="1">
            <x v="141"/>
          </reference>
        </references>
      </pivotArea>
    </format>
    <format dxfId="51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9"/>
          </reference>
          <reference field="5" count="1">
            <x v="142"/>
          </reference>
        </references>
      </pivotArea>
    </format>
    <format dxfId="51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5" count="1">
            <x v="140"/>
          </reference>
        </references>
      </pivotArea>
    </format>
    <format dxfId="512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5" count="1">
            <x v="144"/>
          </reference>
        </references>
      </pivotArea>
    </format>
    <format dxfId="511">
      <pivotArea dataOnly="0" labelOnly="1" outline="0" fieldPosition="0">
        <references count="3">
          <reference field="0" count="1" selected="0">
            <x v="18"/>
          </reference>
          <reference field="1" count="1" selected="0">
            <x v="4"/>
          </reference>
          <reference field="5" count="1">
            <x v="143"/>
          </reference>
        </references>
      </pivotArea>
    </format>
    <format dxfId="510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1"/>
          </reference>
          <reference field="5" count="1">
            <x v="145"/>
          </reference>
        </references>
      </pivotArea>
    </format>
  </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Сводная таблица1" cacheId="120" applyNumberFormats="0" applyBorderFormats="0" applyFontFormats="0" applyPatternFormats="0" applyAlignmentFormats="0" applyWidthHeightFormats="1" dataCaption="Значения" updatedVersion="6" minRefreshableVersion="3" showDrill="0" itemPrintTitles="1" createdVersion="6" indent="0" compact="0" compactData="0" multipleFieldFilters="0">
  <location ref="A7:E14" firstHeaderRow="1" firstDataRow="1" firstDataCol="4"/>
  <pivotFields count="20">
    <pivotField axis="axisRow" showDropDowns="0" compact="0" outline="0" showAll="0" defaultSubtotal="0">
      <items count="25">
        <item x="9"/>
        <item x="14"/>
        <item x="13"/>
        <item x="5"/>
        <item x="12"/>
        <item x="11"/>
        <item x="4"/>
        <item x="6"/>
        <item x="10"/>
        <item x="2"/>
        <item x="1"/>
        <item x="7"/>
        <item x="0"/>
        <item x="8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showDropDowns="0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</pivotField>
    <pivotField compact="0" outline="0" showAll="0" defaultSubtotal="0"/>
    <pivotField axis="axisRow" showDropDowns="0" compact="0" outline="0" multipleItemSelectionAllowed="1" showAll="0" defaultSubtotal="0">
      <items count="26">
        <item h="1" x="0"/>
        <item x="6"/>
        <item h="1" m="1" x="14"/>
        <item h="1" m="1" x="22"/>
        <item h="1" m="1" x="23"/>
        <item m="1" x="18"/>
        <item h="1" m="1" x="8"/>
        <item h="1" m="1" x="25"/>
        <item h="1" x="1"/>
        <item h="1" m="1" x="21"/>
        <item h="1" m="1" x="24"/>
        <item x="3"/>
        <item h="1" x="4"/>
        <item h="1" m="1" x="20"/>
        <item h="1" m="1" x="16"/>
        <item h="1" m="1" x="15"/>
        <item h="1" m="1" x="17"/>
        <item h="1" m="1" x="19"/>
        <item x="2"/>
        <item h="1" m="1" x="12"/>
        <item h="1" x="5"/>
        <item h="1" m="1" x="11"/>
        <item h="1" m="1" x="10"/>
        <item h="1" m="1" x="13"/>
        <item m="1" x="9"/>
        <item h="1" m="1" x="7"/>
      </items>
    </pivotField>
    <pivotField showDropDowns="0" compact="0" numFmtId="164" outline="0" showAll="0" defaultSubtotal="0"/>
    <pivotField name="На борту   мт" dataField="1" showDropDowns="0" compact="0" outline="0" showAll="0" defaultSubtotal="0">
      <items count="140">
        <item x="0"/>
        <item x="6"/>
        <item x="25"/>
        <item x="35"/>
        <item x="12"/>
        <item x="37"/>
        <item x="3"/>
        <item x="16"/>
        <item m="1" x="134"/>
        <item m="1" x="132"/>
        <item x="38"/>
        <item x="34"/>
        <item x="9"/>
        <item m="1" x="123"/>
        <item x="43"/>
        <item x="30"/>
        <item x="42"/>
        <item x="14"/>
        <item x="2"/>
        <item x="39"/>
        <item x="64"/>
        <item x="24"/>
        <item x="11"/>
        <item x="50"/>
        <item x="21"/>
        <item x="26"/>
        <item x="13"/>
        <item x="52"/>
        <item x="45"/>
        <item x="7"/>
        <item x="8"/>
        <item x="27"/>
        <item x="28"/>
        <item x="48"/>
        <item x="57"/>
        <item x="19"/>
        <item x="22"/>
        <item x="47"/>
        <item x="53"/>
        <item x="17"/>
        <item x="51"/>
        <item x="40"/>
        <item x="31"/>
        <item x="56"/>
        <item x="33"/>
        <item x="4"/>
        <item x="55"/>
        <item x="60"/>
        <item x="23"/>
        <item x="41"/>
        <item x="65"/>
        <item x="1"/>
        <item x="49"/>
        <item x="15"/>
        <item x="32"/>
        <item x="20"/>
        <item x="62"/>
        <item x="59"/>
        <item x="58"/>
        <item x="61"/>
        <item x="54"/>
        <item x="36"/>
        <item x="10"/>
        <item x="5"/>
        <item x="29"/>
        <item x="18"/>
        <item x="44"/>
        <item x="46"/>
        <item x="68"/>
        <item x="73"/>
        <item m="1" x="129"/>
        <item m="1" x="116"/>
        <item m="1" x="128"/>
        <item x="67"/>
        <item x="63"/>
        <item x="66"/>
        <item m="1" x="133"/>
        <item m="1" x="136"/>
        <item m="1" x="137"/>
        <item x="71"/>
        <item m="1" x="115"/>
        <item m="1" x="138"/>
        <item m="1" x="135"/>
        <item x="69"/>
        <item m="1" x="125"/>
        <item m="1" x="114"/>
        <item x="70"/>
        <item m="1" x="119"/>
        <item x="72"/>
        <item m="1" x="139"/>
        <item m="1" x="130"/>
        <item x="76"/>
        <item x="74"/>
        <item x="75"/>
        <item m="1" x="120"/>
        <item x="77"/>
        <item x="78"/>
        <item x="82"/>
        <item x="83"/>
        <item x="81"/>
        <item x="79"/>
        <item x="80"/>
        <item m="1" x="121"/>
        <item m="1" x="118"/>
        <item m="1" x="122"/>
        <item x="84"/>
        <item x="85"/>
        <item x="86"/>
        <item x="87"/>
        <item x="88"/>
        <item x="89"/>
        <item x="90"/>
        <item m="1" x="117"/>
        <item x="92"/>
        <item x="93"/>
        <item x="97"/>
        <item x="95"/>
        <item x="96"/>
        <item m="1" x="124"/>
        <item x="99"/>
        <item m="1" x="127"/>
        <item x="94"/>
        <item m="1" x="126"/>
        <item m="1" x="113"/>
        <item x="98"/>
        <item x="103"/>
        <item m="1" x="131"/>
        <item x="105"/>
        <item x="104"/>
        <item x="91"/>
        <item x="108"/>
        <item x="109"/>
        <item x="110"/>
        <item x="100"/>
        <item x="101"/>
        <item x="102"/>
        <item x="106"/>
        <item x="111"/>
        <item x="112"/>
        <item x="107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m="1" x="2"/>
      </items>
    </pivotField>
    <pivotField showDropDowns="0" compact="0" outline="0" showAll="0" defaultSubtotal="0"/>
    <pivotField showDropDowns="0" compact="0" outline="0" showAll="0" defaultSubtotal="0"/>
    <pivotField showDropDowns="0" compact="0" numFmtId="164" outline="0" showAll="0" defaultSubtotal="0"/>
    <pivotField showDropDowns="0"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</pivotFields>
  <rowFields count="4">
    <field x="0"/>
    <field x="1"/>
    <field x="11"/>
    <field x="3"/>
  </rowFields>
  <rowItems count="7">
    <i>
      <x v="7"/>
      <x v="4"/>
      <x/>
      <x v="18"/>
    </i>
    <i>
      <x v="8"/>
      <x v="4"/>
      <x/>
      <x v="11"/>
    </i>
    <i>
      <x v="11"/>
      <x v="15"/>
      <x/>
      <x v="18"/>
    </i>
    <i>
      <x v="13"/>
      <x v="15"/>
      <x/>
      <x v="18"/>
    </i>
    <i>
      <x v="14"/>
      <x v="6"/>
      <x/>
      <x v="1"/>
    </i>
    <i>
      <x v="21"/>
      <x v="6"/>
      <x/>
      <x v="11"/>
    </i>
    <i t="grand">
      <x/>
    </i>
  </rowItems>
  <colItems count="1">
    <i/>
  </colItems>
  <dataFields count="1">
    <dataField name=" На борту   мт" fld="5" baseField="3" baseItem="5" numFmtId="3"/>
  </dataFields>
  <formats count="132">
    <format dxfId="2066">
      <pivotArea dataOnly="0" labelOnly="1" outline="0" fieldPosition="0">
        <references count="1">
          <reference field="0" count="3">
            <x v="7"/>
            <x v="12"/>
            <x v="14"/>
          </reference>
        </references>
      </pivotArea>
    </format>
    <format dxfId="2067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2068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069">
      <pivotArea dataOnly="0" labelOnly="1" outline="0" fieldPosition="0">
        <references count="2">
          <reference field="0" count="1" selected="0">
            <x v="14"/>
          </reference>
          <reference field="1" count="1">
            <x v="2"/>
          </reference>
        </references>
      </pivotArea>
    </format>
    <format dxfId="2070">
      <pivotArea field="0" type="button" dataOnly="0" labelOnly="1" outline="0" axis="axisRow" fieldPosition="0"/>
    </format>
    <format dxfId="2071">
      <pivotArea field="1" type="button" dataOnly="0" labelOnly="1" outline="0" axis="axisRow" fieldPosition="1"/>
    </format>
    <format dxfId="2072">
      <pivotArea field="5" type="button" dataOnly="0" labelOnly="1" outline="0"/>
    </format>
    <format dxfId="2073">
      <pivotArea field="3" type="button" dataOnly="0" labelOnly="1" outline="0" axis="axisRow" fieldPosition="3"/>
    </format>
    <format dxfId="2074">
      <pivotArea dataOnly="0" labelOnly="1" outline="0" fieldPosition="0">
        <references count="1">
          <reference field="0" count="3">
            <x v="7"/>
            <x v="12"/>
            <x v="14"/>
          </reference>
        </references>
      </pivotArea>
    </format>
    <format dxfId="2075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2076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077">
      <pivotArea dataOnly="0" labelOnly="1" outline="0" fieldPosition="0">
        <references count="2">
          <reference field="0" count="1" selected="0">
            <x v="14"/>
          </reference>
          <reference field="1" count="1">
            <x v="2"/>
          </reference>
        </references>
      </pivotArea>
    </format>
    <format dxfId="2078">
      <pivotArea outline="0" fieldPosition="0">
        <references count="1">
          <reference field="4294967294" count="1">
            <x v="0"/>
          </reference>
        </references>
      </pivotArea>
    </format>
    <format dxfId="2079">
      <pivotArea outline="0" collapsedLevelsAreSubtotals="1" fieldPosition="0"/>
    </format>
    <format dxfId="208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81">
      <pivotArea dataOnly="0" labelOnly="1" outline="0" fieldPosition="0">
        <references count="2">
          <reference field="0" count="1" selected="0">
            <x v="8"/>
          </reference>
          <reference field="1" count="1">
            <x v="2"/>
          </reference>
        </references>
      </pivotArea>
    </format>
    <format dxfId="208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83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08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85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08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"/>
          </reference>
        </references>
      </pivotArea>
    </format>
    <format dxfId="208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"/>
          </reference>
        </references>
      </pivotArea>
    </format>
    <format dxfId="2088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11"/>
          </reference>
        </references>
      </pivotArea>
    </format>
    <format dxfId="208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3" count="1">
            <x v="7"/>
          </reference>
        </references>
      </pivotArea>
    </format>
    <format dxfId="2090">
      <pivotArea dataOnly="0" labelOnly="1" outline="0" fieldPosition="0">
        <references count="1">
          <reference field="0" count="4">
            <x v="4"/>
            <x v="8"/>
            <x v="11"/>
            <x v="14"/>
          </reference>
        </references>
      </pivotArea>
    </format>
    <format dxfId="209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1"/>
          </reference>
        </references>
      </pivotArea>
    </format>
    <format dxfId="209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0"/>
        </references>
      </pivotArea>
    </format>
    <format dxfId="209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94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2095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96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2097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98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099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210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01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102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210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5"/>
          </reference>
        </references>
      </pivotArea>
    </format>
    <format dxfId="2104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3" count="1">
            <x v="18"/>
          </reference>
        </references>
      </pivotArea>
    </format>
    <format dxfId="210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1">
            <x v="18"/>
          </reference>
        </references>
      </pivotArea>
    </format>
    <format dxfId="210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5"/>
          </reference>
        </references>
      </pivotArea>
    </format>
    <format dxfId="210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3" count="1">
            <x v="18"/>
          </reference>
        </references>
      </pivotArea>
    </format>
    <format dxfId="2108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1">
            <x v="18"/>
          </reference>
        </references>
      </pivotArea>
    </format>
    <format dxfId="2109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1">
            <x v="5"/>
          </reference>
        </references>
      </pivotArea>
    </format>
    <format dxfId="2110">
      <pivotArea dataOnly="0" labelOnly="1" outline="0" fieldPosition="0">
        <references count="1">
          <reference field="0" count="2">
            <x v="7"/>
            <x v="10"/>
          </reference>
        </references>
      </pivotArea>
    </format>
    <format dxfId="211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3" count="1">
            <x v="18"/>
          </reference>
        </references>
      </pivotArea>
    </format>
    <format dxfId="2112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1">
            <x v="11"/>
          </reference>
        </references>
      </pivotArea>
    </format>
    <format dxfId="2113">
      <pivotArea field="0" type="button" dataOnly="0" labelOnly="1" outline="0" axis="axisRow" fieldPosition="0"/>
    </format>
    <format dxfId="2114">
      <pivotArea field="1" type="button" dataOnly="0" labelOnly="1" outline="0" axis="axisRow" fieldPosition="1"/>
    </format>
    <format dxfId="2115">
      <pivotArea field="3" type="button" dataOnly="0" labelOnly="1" outline="0" axis="axisRow" fieldPosition="3"/>
    </format>
    <format dxfId="2116">
      <pivotArea dataOnly="0" labelOnly="1" outline="0" axis="axisValues" fieldPosition="0"/>
    </format>
    <format dxfId="2117">
      <pivotArea dataOnly="0" labelOnly="1" outline="0" axis="axisValues" fieldPosition="0"/>
    </format>
    <format dxfId="2118">
      <pivotArea field="0" type="button" dataOnly="0" labelOnly="1" outline="0" axis="axisRow" fieldPosition="0"/>
    </format>
    <format dxfId="2119">
      <pivotArea field="1" type="button" dataOnly="0" labelOnly="1" outline="0" axis="axisRow" fieldPosition="1"/>
    </format>
    <format dxfId="2120">
      <pivotArea field="3" type="button" dataOnly="0" labelOnly="1" outline="0" axis="axisRow" fieldPosition="3"/>
    </format>
    <format dxfId="2121">
      <pivotArea dataOnly="0" labelOnly="1" outline="0" axis="axisValues" fieldPosition="0"/>
    </format>
    <format dxfId="2122">
      <pivotArea dataOnly="0" labelOnly="1" outline="0" axis="axisValues" fieldPosition="0"/>
    </format>
    <format dxfId="212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3" count="0"/>
        </references>
      </pivotArea>
    </format>
    <format dxfId="2124">
      <pivotArea dataOnly="0" labelOnly="1" outline="0" fieldPosition="0">
        <references count="1">
          <reference field="0" count="1">
            <x v="7"/>
          </reference>
        </references>
      </pivotArea>
    </format>
    <format dxfId="2125">
      <pivotArea dataOnly="0" labelOnly="1" outline="0" fieldPosition="0">
        <references count="1">
          <reference field="0" count="1">
            <x v="7"/>
          </reference>
        </references>
      </pivotArea>
    </format>
    <format dxfId="2126">
      <pivotArea field="11" type="button" dataOnly="0" labelOnly="1" outline="0" axis="axisRow" fieldPosition="2"/>
    </format>
    <format dxfId="2127">
      <pivotArea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11" count="1" selected="0">
            <x v="1"/>
          </reference>
        </references>
      </pivotArea>
    </format>
    <format dxfId="2128">
      <pivotArea dataOnly="0" labelOnly="1" outline="0" fieldPosition="0">
        <references count="1">
          <reference field="0" count="1">
            <x v="7"/>
          </reference>
        </references>
      </pivotArea>
    </format>
    <format dxfId="2129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130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11" count="1">
            <x v="1"/>
          </reference>
        </references>
      </pivotArea>
    </format>
    <format dxfId="213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3" count="0"/>
          <reference field="11" count="1" selected="0">
            <x v="1"/>
          </reference>
        </references>
      </pivotArea>
    </format>
    <format dxfId="2132">
      <pivotArea dataOnly="0" labelOnly="1" outline="0" fieldPosition="0">
        <references count="1">
          <reference field="0" count="1">
            <x v="7"/>
          </reference>
        </references>
      </pivotArea>
    </format>
    <format dxfId="2133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134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11" count="1">
            <x v="1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3" count="0"/>
          <reference field="11" count="1" selected="0">
            <x v="1"/>
          </reference>
        </references>
      </pivotArea>
    </format>
    <format dxfId="2136">
      <pivotArea field="0" type="button" dataOnly="0" labelOnly="1" outline="0" axis="axisRow" fieldPosition="0"/>
    </format>
    <format dxfId="2137">
      <pivotArea field="1" type="button" dataOnly="0" labelOnly="1" outline="0" axis="axisRow" fieldPosition="1"/>
    </format>
    <format dxfId="2138">
      <pivotArea field="11" type="button" dataOnly="0" labelOnly="1" outline="0" axis="axisRow" fieldPosition="2"/>
    </format>
    <format dxfId="2139">
      <pivotArea field="3" type="button" dataOnly="0" labelOnly="1" outline="0" axis="axisRow" fieldPosition="3"/>
    </format>
    <format dxfId="2140">
      <pivotArea dataOnly="0" labelOnly="1" outline="0" axis="axisValues" fieldPosition="0"/>
    </format>
    <format dxfId="2141">
      <pivotArea dataOnly="0" labelOnly="1" outline="0" axis="axisValues" fieldPosition="0"/>
    </format>
    <format dxfId="2142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11" count="1">
            <x v="1"/>
          </reference>
        </references>
      </pivotArea>
    </format>
    <format dxfId="214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11" count="1">
            <x v="1"/>
          </reference>
        </references>
      </pivotArea>
    </format>
    <format dxfId="2144">
      <pivotArea dataOnly="0" labelOnly="1" outline="0" fieldPosition="0">
        <references count="1">
          <reference field="0" count="1">
            <x v="7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3" count="0"/>
          <reference field="11" count="1" selected="0">
            <x v="1"/>
          </reference>
        </references>
      </pivotArea>
    </format>
    <format dxfId="2146">
      <pivotArea dataOnly="0" labelOnly="1" outline="0" fieldPosition="0">
        <references count="1">
          <reference field="0" count="1">
            <x v="7"/>
          </reference>
        </references>
      </pivotArea>
    </format>
    <format dxfId="2147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14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11" count="1">
            <x v="1"/>
          </reference>
        </references>
      </pivotArea>
    </format>
    <format dxfId="2149">
      <pivotArea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11" count="1" selected="0">
            <x v="1"/>
          </reference>
        </references>
      </pivotArea>
    </format>
    <format dxfId="2150">
      <pivotArea grandRow="1" outline="0" collapsedLevelsAreSubtotals="1" fieldPosition="0"/>
    </format>
    <format dxfId="2151">
      <pivotArea dataOnly="0" labelOnly="1" grandRow="1" outline="0" fieldPosition="0"/>
    </format>
    <format dxfId="2152">
      <pivotArea dataOnly="0" labelOnly="1" outline="0" fieldPosition="0">
        <references count="1">
          <reference field="0" count="3">
            <x v="8"/>
            <x v="11"/>
            <x v="12"/>
          </reference>
        </references>
      </pivotArea>
    </format>
    <format dxfId="2153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54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55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56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57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158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59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160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6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11" count="1">
            <x v="0"/>
          </reference>
        </references>
      </pivotArea>
    </format>
    <format dxfId="216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11" count="1">
            <x v="1"/>
          </reference>
        </references>
      </pivotArea>
    </format>
    <format dxfId="2163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11" count="1">
            <x v="0"/>
          </reference>
        </references>
      </pivotArea>
    </format>
    <format dxfId="2164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11" count="1">
            <x v="1"/>
          </reference>
        </references>
      </pivotArea>
    </format>
    <format dxfId="2165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66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167">
      <pivotArea outline="0" fieldPosition="0">
        <references count="4">
          <reference field="0" count="2" selected="0">
            <x v="11"/>
            <x v="12"/>
          </reference>
          <reference field="1" count="2" selected="0">
            <x v="2"/>
            <x v="4"/>
          </reference>
          <reference field="3" count="1" selected="0">
            <x v="5"/>
          </reference>
          <reference field="11" count="1" selected="0">
            <x v="0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3" count="1">
            <x v="18"/>
          </reference>
          <reference field="11" count="1" selected="0">
            <x v="0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3" count="1">
            <x v="5"/>
          </reference>
          <reference field="11" count="1" selected="0">
            <x v="0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2"/>
          </reference>
          <reference field="3" count="1">
            <x v="5"/>
          </reference>
          <reference field="11" count="1" selected="0">
            <x v="0"/>
          </reference>
        </references>
      </pivotArea>
    </format>
    <format dxfId="2171">
      <pivotArea field="0" type="button" dataOnly="0" labelOnly="1" outline="0" axis="axisRow" fieldPosition="0"/>
    </format>
    <format dxfId="2172">
      <pivotArea field="1" type="button" dataOnly="0" labelOnly="1" outline="0" axis="axisRow" fieldPosition="1"/>
    </format>
    <format dxfId="2173">
      <pivotArea field="11" type="button" dataOnly="0" labelOnly="1" outline="0" axis="axisRow" fieldPosition="2"/>
    </format>
    <format dxfId="2174">
      <pivotArea field="3" type="button" dataOnly="0" labelOnly="1" outline="0" axis="axisRow" fieldPosition="3"/>
    </format>
    <format dxfId="2175">
      <pivotArea dataOnly="0" labelOnly="1" outline="0" axis="axisValues" fieldPosition="0"/>
    </format>
    <format dxfId="2176">
      <pivotArea dataOnly="0" labelOnly="1" outline="0" axis="axisValues" fieldPosition="0"/>
    </format>
    <format dxfId="2177">
      <pivotArea dataOnly="0" labelOnly="1" grandRow="1" outline="0" fieldPosition="0"/>
    </format>
    <format dxfId="2178">
      <pivotArea dataOnly="0" labelOnly="1" outline="0" fieldPosition="0">
        <references count="1">
          <reference field="0" count="3">
            <x v="8"/>
            <x v="11"/>
            <x v="12"/>
          </reference>
        </references>
      </pivotArea>
    </format>
    <format dxfId="2179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180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181">
      <pivotArea dataOnly="0" labelOnly="1" outline="0" fieldPosition="0">
        <references count="1">
          <reference field="0" count="1">
            <x v="13"/>
          </reference>
        </references>
      </pivotArea>
    </format>
    <format dxfId="2182">
      <pivotArea dataOnly="0" labelOnly="1" outline="0" fieldPosition="0">
        <references count="2">
          <reference field="0" count="1" selected="0">
            <x v="13"/>
          </reference>
          <reference field="1" count="1">
            <x v="4"/>
          </reference>
        </references>
      </pivotArea>
    </format>
    <format dxfId="2183">
      <pivotArea dataOnly="0" outline="0" fieldPosition="0">
        <references count="1">
          <reference field="11" count="1">
            <x v="0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"/>
          </reference>
          <reference field="3" count="0"/>
          <reference field="11" count="1" selected="0">
            <x v="0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"/>
          </reference>
          <reference field="3" count="0"/>
          <reference field="11" count="1" selected="0">
            <x v="0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"/>
          </reference>
          <reference field="3" count="0"/>
          <reference field="11" count="1" selected="0">
            <x v="0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4"/>
          </reference>
          <reference field="3" count="0"/>
          <reference field="11" count="1" selected="0">
            <x v="0"/>
          </reference>
        </references>
      </pivotArea>
    </format>
    <format dxfId="2188">
      <pivotArea dataOnly="0" labelOnly="1" outline="0" fieldPosition="0">
        <references count="1">
          <reference field="0" count="1">
            <x v="13"/>
          </reference>
        </references>
      </pivotArea>
    </format>
    <format dxfId="2189">
      <pivotArea dataOnly="0" labelOnly="1" outline="0" fieldPosition="0">
        <references count="1">
          <reference field="0" count="2">
            <x v="3"/>
            <x v="4"/>
          </reference>
        </references>
      </pivotArea>
    </format>
    <format dxfId="2190">
      <pivotArea dataOnly="0" labelOnly="1" outline="0" fieldPosition="0">
        <references count="1">
          <reference field="0" count="1">
            <x v="21"/>
          </reference>
        </references>
      </pivotArea>
    </format>
    <format dxfId="2191">
      <pivotArea dataOnly="0" labelOnly="1" outline="0" fieldPosition="0">
        <references count="1">
          <reference field="0" count="1">
            <x v="16"/>
          </reference>
        </references>
      </pivotArea>
    </format>
    <format dxfId="2192">
      <pivotArea dataOnly="0" labelOnly="1" outline="0" fieldPosition="0">
        <references count="2">
          <reference field="0" count="1" selected="0">
            <x v="13"/>
          </reference>
          <reference field="1" count="1">
            <x v="19"/>
          </reference>
        </references>
      </pivotArea>
    </format>
    <format dxfId="2193">
      <pivotArea dataOnly="0" labelOnly="1" outline="0" fieldPosition="0">
        <references count="2">
          <reference field="0" count="1" selected="0">
            <x v="16"/>
          </reference>
          <reference field="1" count="1">
            <x v="2"/>
          </reference>
        </references>
      </pivotArea>
    </format>
    <format dxfId="2194">
      <pivotArea dataOnly="0" labelOnly="1" outline="0" fieldPosition="0">
        <references count="2">
          <reference field="0" count="1" selected="0">
            <x v="21"/>
          </reference>
          <reference field="1" count="1">
            <x v="4"/>
          </reference>
        </references>
      </pivotArea>
    </format>
    <format dxfId="2195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19"/>
          </reference>
          <reference field="3" count="1">
            <x v="24"/>
          </reference>
          <reference field="11" count="1" selected="0">
            <x v="0"/>
          </reference>
        </references>
      </pivotArea>
    </format>
    <format dxfId="2196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2"/>
          </reference>
          <reference field="3" count="1">
            <x v="1"/>
          </reference>
          <reference field="11" count="1" selected="0">
            <x v="0"/>
          </reference>
        </references>
      </pivotArea>
    </format>
    <format dxfId="2197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4"/>
          </reference>
          <reference field="3" count="1">
            <x v="11"/>
          </reference>
          <reference field="11" count="1" selected="0">
            <x v="0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водная таблица2" cacheId="120" applyNumberFormats="0" applyBorderFormats="0" applyFontFormats="0" applyPatternFormats="0" applyAlignmentFormats="0" applyWidthHeightFormats="1" dataCaption="Значения" missingCaption="нет Данных" updatedVersion="6" minRefreshableVersion="3" showDrill="0" itemPrintTitles="1" createdVersion="6" indent="0" compact="0" compactData="0" multipleFieldFilters="0">
  <location ref="A16:E17" firstHeaderRow="1" firstDataRow="1" firstDataCol="4"/>
  <pivotFields count="20">
    <pivotField axis="axisRow" showDropDowns="0" compact="0" outline="0" showAll="0" defaultSubtotal="0">
      <items count="25">
        <item x="9"/>
        <item x="14"/>
        <item x="13"/>
        <item x="5"/>
        <item x="12"/>
        <item x="8"/>
        <item x="11"/>
        <item x="4"/>
        <item x="6"/>
        <item x="10"/>
        <item x="2"/>
        <item x="1"/>
        <item x="7"/>
        <item x="0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showDropDowns="0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</pivotField>
    <pivotField compact="0" outline="0" showAll="0" defaultSubtotal="0"/>
    <pivotField axis="axisRow" showDropDowns="0" compact="0" outline="0" showAll="0" defaultSubtotal="0">
      <items count="26">
        <item h="1" x="0"/>
        <item h="1" x="6"/>
        <item h="1" m="1" x="18"/>
        <item h="1" m="1" x="14"/>
        <item h="1" m="1" x="22"/>
        <item h="1" m="1" x="23"/>
        <item m="1" x="8"/>
        <item h="1" m="1" x="25"/>
        <item h="1" x="1"/>
        <item m="1" x="21"/>
        <item h="1" m="1" x="24"/>
        <item h="1" x="3"/>
        <item h="1" x="4"/>
        <item m="1" x="20"/>
        <item m="1" x="16"/>
        <item m="1" x="15"/>
        <item m="1" x="17"/>
        <item m="1" x="19"/>
        <item h="1" x="2"/>
        <item h="1" m="1" x="12"/>
        <item h="1" x="5"/>
        <item h="1" m="1" x="11"/>
        <item h="1" m="1" x="10"/>
        <item m="1" x="13"/>
        <item h="1" m="1" x="9"/>
        <item h="1" m="1" x="7"/>
      </items>
    </pivotField>
    <pivotField dataField="1" showDropDowns="0" compact="0" numFmtId="164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3">
        <item x="0"/>
        <item x="1"/>
        <item m="1" x="2"/>
      </items>
    </pivotField>
    <pivotField showDropDowns="0" compact="0" outline="0" showAll="0" defaultSubtotal="0"/>
    <pivotField showDropDowns="0" compact="0" outline="0" showAll="0" defaultSubtotal="0"/>
    <pivotField showDropDowns="0" compact="0" numFmtId="164" outline="0" showAll="0" defaultSubtotal="0"/>
    <pivotField showDropDowns="0" compact="0" outline="0" showAll="0" defaultSubtotal="0"/>
    <pivotField showDropDowns="0" compact="0" numFmtId="1" outline="0" showAll="0" defaultSubtotal="0"/>
    <pivotField showDropDowns="0" compact="0" outline="0" showAll="0" defaultSubtotal="0"/>
    <pivotField showDropDowns="0" compact="0" numFmtId="1" outline="0" showAll="0" defaultSubtotal="0"/>
    <pivotField compact="0" outline="0" showAll="0" defaultSubtotal="0"/>
  </pivotFields>
  <rowFields count="4">
    <field x="0"/>
    <field x="1"/>
    <field x="3"/>
    <field x="11"/>
  </rowFields>
  <rowItems count="1">
    <i t="grand">
      <x/>
    </i>
  </rowItems>
  <colItems count="1">
    <i/>
  </colItems>
  <dataFields count="1">
    <dataField name="Вес  к  погрузке  мт" fld="4" baseField="3" baseItem="6" numFmtId="3"/>
  </dataFields>
  <formats count="161">
    <format dxfId="2399">
      <pivotArea field="0" type="button" dataOnly="0" labelOnly="1" outline="0" axis="axisRow" fieldPosition="0"/>
    </format>
    <format dxfId="2400">
      <pivotArea field="1" type="button" dataOnly="0" labelOnly="1" outline="0" axis="axisRow" fieldPosition="1"/>
    </format>
    <format dxfId="2401">
      <pivotArea field="3" type="button" dataOnly="0" labelOnly="1" outline="0" axis="axisRow" fieldPosition="2"/>
    </format>
    <format dxfId="2402">
      <pivotArea dataOnly="0" labelOnly="1" outline="0" axis="axisValues" fieldPosition="0"/>
    </format>
    <format dxfId="2403">
      <pivotArea dataOnly="0" labelOnly="1" outline="0" axis="axisValues" fieldPosition="0"/>
    </format>
    <format dxfId="2404">
      <pivotArea outline="0" collapsedLevelsAreSubtotals="1" fieldPosition="0"/>
    </format>
    <format dxfId="2405">
      <pivotArea dataOnly="0" labelOnly="1" outline="0" fieldPosition="0">
        <references count="1">
          <reference field="0" count="2">
            <x v="3"/>
            <x v="6"/>
          </reference>
        </references>
      </pivotArea>
    </format>
    <format dxfId="2406">
      <pivotArea dataOnly="0" labelOnly="1" grandRow="1" outline="0" fieldPosition="0"/>
    </format>
    <format dxfId="2407">
      <pivotArea dataOnly="0" labelOnly="1" outline="0" fieldPosition="0">
        <references count="2">
          <reference field="0" count="1" selected="0">
            <x v="3"/>
          </reference>
          <reference field="1" count="1">
            <x v="15"/>
          </reference>
        </references>
      </pivotArea>
    </format>
    <format dxfId="240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0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5"/>
          </reference>
          <reference field="3" count="0"/>
        </references>
      </pivotArea>
    </format>
    <format dxfId="241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11">
      <pivotArea outline="0" fieldPosition="0">
        <references count="1">
          <reference field="4294967294" count="1">
            <x v="0"/>
          </reference>
        </references>
      </pivotArea>
    </format>
    <format dxfId="241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1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0"/>
        </references>
      </pivotArea>
    </format>
    <format dxfId="2414">
      <pivotArea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 selected="0"/>
        </references>
      </pivotArea>
    </format>
    <format dxfId="2415">
      <pivotArea dataOnly="0" labelOnly="1" outline="0" fieldPosition="0">
        <references count="1">
          <reference field="0" count="1">
            <x v="6"/>
          </reference>
        </references>
      </pivotArea>
    </format>
    <format dxfId="2416">
      <pivotArea dataOnly="0" labelOnly="1" outline="0" offset="IV256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17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18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19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2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21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2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23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2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25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26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27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28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29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3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31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32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3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34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35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36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37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38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440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41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442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43">
      <pivotArea dataOnly="0" labelOnly="1" outline="0" fieldPosition="0">
        <references count="2">
          <reference field="0" count="1" selected="0">
            <x v="10"/>
          </reference>
          <reference field="1" count="1">
            <x v="15"/>
          </reference>
        </references>
      </pivotArea>
    </format>
    <format dxfId="2444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45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46">
      <pivotArea dataOnly="0" labelOnly="1" outline="0" fieldPosition="0">
        <references count="2">
          <reference field="0" count="1" selected="0">
            <x v="10"/>
          </reference>
          <reference field="1" count="1">
            <x v="15"/>
          </reference>
        </references>
      </pivotArea>
    </format>
    <format dxfId="2447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48">
      <pivotArea dataOnly="0" labelOnly="1" outline="0" axis="axisValues" fieldPosition="0"/>
    </format>
    <format dxfId="2449">
      <pivotArea dataOnly="0" labelOnly="1" outline="0" axis="axisValues" fieldPosition="0"/>
    </format>
    <format dxfId="2450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51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52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53">
      <pivotArea dataOnly="0" labelOnly="1" outline="0" fieldPosition="0">
        <references count="2">
          <reference field="0" count="1" selected="0">
            <x v="5"/>
          </reference>
          <reference field="1" count="1">
            <x v="15"/>
          </reference>
        </references>
      </pivotArea>
    </format>
    <format dxfId="2454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55">
      <pivotArea dataOnly="0" labelOnly="1" outline="0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2456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457">
      <pivotArea dataOnly="0" labelOnly="1" outline="0" fieldPosition="0">
        <references count="2">
          <reference field="0" count="1" selected="0">
            <x v="5"/>
          </reference>
          <reference field="1" count="1">
            <x v="15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5"/>
          </reference>
          <reference field="3" count="0"/>
        </references>
      </pivotArea>
    </format>
    <format dxfId="245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6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0"/>
        </references>
      </pivotArea>
    </format>
    <format dxfId="246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6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0"/>
        </references>
      </pivotArea>
    </format>
    <format dxfId="2464">
      <pivotArea dataOnly="0" labelOnly="1" outline="0" fieldPosition="0">
        <references count="1">
          <reference field="0" count="1">
            <x v="6"/>
          </reference>
        </references>
      </pivotArea>
    </format>
    <format dxfId="2465">
      <pivotArea dataOnly="0" labelOnly="1" outline="0" fieldPosition="0">
        <references count="1">
          <reference field="0" count="1">
            <x v="5"/>
          </reference>
        </references>
      </pivotArea>
    </format>
    <format dxfId="2466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67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68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69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70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71">
      <pivotArea outline="0" fieldPosition="0">
        <references count="3">
          <reference field="0" count="2" selected="0">
            <x v="5"/>
            <x v="6"/>
          </reference>
          <reference field="1" count="1" selected="0">
            <x v="4"/>
          </reference>
          <reference field="3" count="0" selected="0"/>
        </references>
      </pivotArea>
    </format>
    <format dxfId="2472">
      <pivotArea dataOnly="0" labelOnly="1" outline="0" fieldPosition="0">
        <references count="1">
          <reference field="0" count="2">
            <x v="5"/>
            <x v="6"/>
          </reference>
        </references>
      </pivotArea>
    </format>
    <format dxfId="2473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7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7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0"/>
        </references>
      </pivotArea>
    </format>
    <format dxfId="2476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77">
      <pivotArea dataOnly="0" labelOnly="1" outline="0" fieldPosition="0">
        <references count="2">
          <reference field="0" count="1" selected="0">
            <x v="9"/>
          </reference>
          <reference field="1" count="1">
            <x v="15"/>
          </reference>
        </references>
      </pivotArea>
    </format>
    <format dxfId="247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479">
      <pivotArea dataOnly="0" labelOnly="1" outline="0" fieldPosition="0">
        <references count="1">
          <reference field="0" count="1">
            <x v="9"/>
          </reference>
        </references>
      </pivotArea>
    </format>
    <format dxfId="2480">
      <pivotArea dataOnly="0" labelOnly="1" outline="0" fieldPosition="0">
        <references count="1">
          <reference field="0" count="1">
            <x v="6"/>
          </reference>
        </references>
      </pivotArea>
    </format>
    <format dxfId="2481">
      <pivotArea outline="0" fieldPosition="0">
        <references count="3">
          <reference field="0" count="1" selected="0">
            <x v="9"/>
          </reference>
          <reference field="1" count="1" selected="0">
            <x v="15"/>
          </reference>
          <reference field="3" count="0" selected="0"/>
        </references>
      </pivotArea>
    </format>
    <format dxfId="2482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4"/>
          </reference>
          <reference field="3" count="0"/>
        </references>
      </pivotArea>
    </format>
    <format dxfId="2483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0"/>
        </references>
      </pivotArea>
    </format>
    <format dxfId="2484">
      <pivotArea dataOnly="0" labelOnly="1" outline="0" fieldPosition="0">
        <references count="1">
          <reference field="0" count="3">
            <x v="5"/>
            <x v="6"/>
            <x v="9"/>
          </reference>
        </references>
      </pivotArea>
    </format>
    <format dxfId="2485">
      <pivotArea dataOnly="0" labelOnly="1" outline="0" fieldPosition="0">
        <references count="1">
          <reference field="0" count="3">
            <x v="5"/>
            <x v="6"/>
            <x v="9"/>
          </reference>
        </references>
      </pivotArea>
    </format>
    <format dxfId="2486">
      <pivotArea outline="0" fieldPosition="0">
        <references count="3">
          <reference field="0" count="2" selected="0">
            <x v="5"/>
            <x v="9"/>
          </reference>
          <reference field="1" count="1" selected="0">
            <x v="4"/>
          </reference>
          <reference field="3" count="0" selected="0"/>
        </references>
      </pivotArea>
    </format>
    <format dxfId="2487">
      <pivotArea outline="0" fieldPosition="0">
        <references count="3">
          <reference field="0" count="3" selected="0">
            <x v="5"/>
            <x v="6"/>
            <x v="9"/>
          </reference>
          <reference field="1" count="1" selected="0">
            <x v="4"/>
          </reference>
          <reference field="3" count="0" selected="0"/>
        </references>
      </pivotArea>
    </format>
    <format dxfId="2488">
      <pivotArea grandRow="1" outline="0" collapsedLevelsAreSubtotals="1" fieldPosition="0"/>
    </format>
    <format dxfId="2489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4"/>
          </reference>
          <reference field="3" count="0"/>
        </references>
      </pivotArea>
    </format>
    <format dxfId="2490">
      <pivotArea dataOnly="0" labelOnly="1" outline="0" fieldPosition="0">
        <references count="1">
          <reference field="0" count="1">
            <x v="12"/>
          </reference>
        </references>
      </pivotArea>
    </format>
    <format dxfId="2491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92">
      <pivotArea dataOnly="0" labelOnly="1" outline="0" fieldPosition="0">
        <references count="1">
          <reference field="0" count="1">
            <x v="13"/>
          </reference>
        </references>
      </pivotArea>
    </format>
    <format dxfId="2493">
      <pivotArea dataOnly="0" labelOnly="1" outline="0" fieldPosition="0">
        <references count="1">
          <reference field="0" count="5">
            <x v="5"/>
            <x v="6"/>
            <x v="9"/>
            <x v="12"/>
            <x v="13"/>
          </reference>
        </references>
      </pivotArea>
    </format>
    <format dxfId="2494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95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2496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49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498">
      <pivotArea dataOnly="0" labelOnly="1" outline="0" fieldPosition="0">
        <references count="2">
          <reference field="0" count="1" selected="0">
            <x v="13"/>
          </reference>
          <reference field="1" count="1">
            <x v="2"/>
          </reference>
        </references>
      </pivotArea>
    </format>
    <format dxfId="2499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00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01">
      <pivotArea dataOnly="0" labelOnly="1" grandRow="1" outline="0" fieldPosition="0"/>
    </format>
    <format dxfId="2502">
      <pivotArea grandRow="1" outline="0" collapsedLevelsAreSubtotals="1" fieldPosition="0"/>
    </format>
    <format dxfId="2503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04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05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06">
      <pivotArea dataOnly="0" labelOnly="1" outline="0" fieldPosition="0">
        <references count="1">
          <reference field="0" count="1">
            <x v="5"/>
          </reference>
        </references>
      </pivotArea>
    </format>
    <format dxfId="2507">
      <pivotArea outline="0" fieldPosition="0">
        <references count="3">
          <reference field="0" count="2" selected="0">
            <x v="5"/>
            <x v="6"/>
          </reference>
          <reference field="1" count="1" selected="0">
            <x v="4"/>
          </reference>
          <reference field="3" count="0" selected="0"/>
        </references>
      </pivotArea>
    </format>
    <format dxfId="2508">
      <pivotArea field="0" type="button" dataOnly="0" labelOnly="1" outline="0" axis="axisRow" fieldPosition="0"/>
    </format>
    <format dxfId="2509">
      <pivotArea field="1" type="button" dataOnly="0" labelOnly="1" outline="0" axis="axisRow" fieldPosition="1"/>
    </format>
    <format dxfId="2510">
      <pivotArea field="3" type="button" dataOnly="0" labelOnly="1" outline="0" axis="axisRow" fieldPosition="2"/>
    </format>
    <format dxfId="2511">
      <pivotArea dataOnly="0" labelOnly="1" outline="0" axis="axisValues" fieldPosition="0"/>
    </format>
    <format dxfId="2512">
      <pivotArea dataOnly="0" labelOnly="1" outline="0" axis="axisValues" fieldPosition="0"/>
    </format>
    <format dxfId="2513">
      <pivotArea dataOnly="0" labelOnly="1" outline="0" fieldPosition="0">
        <references count="1">
          <reference field="0" count="1">
            <x v="5"/>
          </reference>
        </references>
      </pivotArea>
    </format>
    <format dxfId="2514">
      <pivotArea dataOnly="0" labelOnly="1" outline="0" fieldPosition="0">
        <references count="1">
          <reference field="0" count="1">
            <x v="5"/>
          </reference>
        </references>
      </pivotArea>
    </format>
    <format dxfId="2515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16">
      <pivotArea outline="0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3" count="1" selected="0">
            <x v="6"/>
          </reference>
        </references>
      </pivotArea>
    </format>
    <format dxfId="2517">
      <pivotArea dataOnly="0" labelOnly="1" outline="0" fieldPosition="0">
        <references count="1">
          <reference field="0" count="1">
            <x v="5"/>
          </reference>
        </references>
      </pivotArea>
    </format>
    <format dxfId="2518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19">
      <pivotArea dataOnly="0" labelOnly="1" outline="0" fieldPosition="0">
        <references count="1">
          <reference field="0" count="1">
            <x v="5"/>
          </reference>
        </references>
      </pivotArea>
    </format>
    <format dxfId="2520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21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22">
      <pivotArea dataOnly="0" labelOnly="1" outline="0" fieldPosition="0">
        <references count="1">
          <reference field="0" count="1">
            <x v="5"/>
          </reference>
        </references>
      </pivotArea>
    </format>
    <format dxfId="2523">
      <pivotArea dataOnly="0" labelOnly="1" outline="0" offset="IV1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2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25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26">
      <pivotArea dataOnly="0" labelOnly="1" outline="0" fieldPosition="0">
        <references count="1">
          <reference field="0" count="1">
            <x v="5"/>
          </reference>
        </references>
      </pivotArea>
    </format>
    <format dxfId="2527">
      <pivotArea dataOnly="0" labelOnly="1" outline="0" offset="IV1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28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29">
      <pivotArea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</references>
      </pivotArea>
    </format>
    <format dxfId="253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3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>
            <x v="0"/>
          </reference>
        </references>
      </pivotArea>
    </format>
    <format dxfId="253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3" count="1" selected="0">
            <x v="6"/>
          </reference>
          <reference field="11" count="1">
            <x v="0"/>
          </reference>
        </references>
      </pivotArea>
    </format>
    <format dxfId="2533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3" count="1" selected="0">
            <x v="6"/>
          </reference>
          <reference field="11" count="1">
            <x v="0"/>
          </reference>
        </references>
      </pivotArea>
    </format>
    <format dxfId="2534">
      <pivotArea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 selected="0">
            <x v="0"/>
          </reference>
        </references>
      </pivotArea>
    </format>
    <format dxfId="2535">
      <pivotArea dataOnly="0" labelOnly="1" outline="0" fieldPosition="0">
        <references count="1">
          <reference field="0" count="1">
            <x v="5"/>
          </reference>
        </references>
      </pivotArea>
    </format>
    <format dxfId="2536">
      <pivotArea dataOnly="0" labelOnly="1" outline="0" offset="IV1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3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>
            <x v="0"/>
          </reference>
        </references>
      </pivotArea>
    </format>
    <format dxfId="253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3" count="1">
            <x v="6"/>
          </reference>
        </references>
      </pivotArea>
    </format>
    <format dxfId="254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41">
      <pivotArea field="11" type="button" dataOnly="0" labelOnly="1" outline="0" axis="axisRow" fieldPosition="3"/>
    </format>
    <format dxfId="2542">
      <pivotArea field="11" type="button" dataOnly="0" labelOnly="1" outline="0" axis="axisRow" fieldPosition="3"/>
    </format>
    <format dxfId="2543">
      <pivotArea dataOnly="0" labelOnly="1" outline="0" fieldPosition="0">
        <references count="1">
          <reference field="0" count="1">
            <x v="11"/>
          </reference>
        </references>
      </pivotArea>
    </format>
    <format dxfId="2544">
      <pivotArea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 selected="0">
            <x v="0"/>
          </reference>
        </references>
      </pivotArea>
    </format>
    <format dxfId="2545">
      <pivotArea dataOnly="0" labelOnly="1" outline="0" fieldPosition="0">
        <references count="1">
          <reference field="0" count="1">
            <x v="5"/>
          </reference>
        </references>
      </pivotArea>
    </format>
    <format dxfId="2546">
      <pivotArea dataOnly="0" labelOnly="1" outline="0" offset="IV1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4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4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>
            <x v="0"/>
          </reference>
        </references>
      </pivotArea>
    </format>
    <format dxfId="2549">
      <pivotArea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 selected="0">
            <x v="0"/>
          </reference>
        </references>
      </pivotArea>
    </format>
    <format dxfId="2550">
      <pivotArea dataOnly="0" labelOnly="1" outline="0" fieldPosition="0">
        <references count="1">
          <reference field="0" count="1">
            <x v="5"/>
          </reference>
        </references>
      </pivotArea>
    </format>
    <format dxfId="2551">
      <pivotArea dataOnly="0" labelOnly="1" outline="0" offset="IV1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5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3" count="1">
            <x v="16"/>
          </reference>
        </references>
      </pivotArea>
    </format>
    <format dxfId="255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3" count="1" selected="0">
            <x v="16"/>
          </reference>
          <reference field="11" count="1">
            <x v="0"/>
          </reference>
        </references>
      </pivotArea>
    </format>
    <format dxfId="2554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555">
      <pivotArea dataOnly="0" labelOnly="1" outline="0" fieldPosition="0">
        <references count="1">
          <reference field="0" count="4">
            <x v="8"/>
            <x v="9"/>
            <x v="11"/>
            <x v="16"/>
          </reference>
        </references>
      </pivotArea>
    </format>
    <format dxfId="2556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557">
      <pivotArea dataOnly="0" labelOnly="1" outline="0" fieldPosition="0">
        <references count="2">
          <reference field="0" count="1" selected="0">
            <x v="9"/>
          </reference>
          <reference field="1" count="1">
            <x v="2"/>
          </reference>
        </references>
      </pivotArea>
    </format>
    <format dxfId="2558">
      <pivotArea dataOnly="0" labelOnly="1" outline="0" fieldPosition="0">
        <references count="2">
          <reference field="0" count="1" selected="0">
            <x v="16"/>
          </reference>
          <reference field="1" count="1">
            <x v="4"/>
          </reference>
        </references>
      </pivotArea>
    </format>
    <format dxfId="2559">
      <pivotArea dataOnly="0" labelOnly="1" outline="0" fieldPosition="0">
        <references count="1">
          <reference field="0" count="3">
            <x v="8"/>
            <x v="9"/>
            <x v="1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водная таблица6" cacheId="120" applyNumberFormats="0" applyBorderFormats="0" applyFontFormats="0" applyPatternFormats="0" applyAlignmentFormats="0" applyWidthHeightFormats="1" dataCaption="Значения" updatedVersion="6" minRefreshableVersion="3" showDrill="0" useAutoFormatting="1" itemPrintTitles="1" createdVersion="6" indent="0" compact="0" compactData="0" multipleFieldFilters="0">
  <location ref="G25:I27" firstHeaderRow="1" firstDataRow="1" firstDataCol="3"/>
  <pivotFields count="20">
    <pivotField axis="axisRow" showDropDowns="0" compact="0" outline="0" showAll="0" defaultSubtotal="0">
      <items count="25">
        <item x="9"/>
        <item x="14"/>
        <item x="13"/>
        <item x="5"/>
        <item x="12"/>
        <item x="11"/>
        <item x="4"/>
        <item x="6"/>
        <item x="10"/>
        <item x="2"/>
        <item x="1"/>
        <item x="7"/>
        <item x="0"/>
        <item x="8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showDropDowns="0" compact="0" outline="0" showAll="0" defaultSubtotal="0">
      <items count="20">
        <item x="5"/>
        <item m="1" x="18"/>
        <item x="8"/>
        <item m="1" x="19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x="14"/>
        <item m="1" x="16"/>
        <item x="4"/>
      </items>
    </pivotField>
    <pivotField showDropDowns="0" compact="0" outline="0" showAll="0" defaultSubtotal="0"/>
    <pivotField axis="axisRow" showDropDowns="0" compact="0" outline="0" showAll="0" defaultSubtotal="0">
      <items count="26">
        <item h="1" m="1" x="21"/>
        <item h="1" x="0"/>
        <item h="1" m="1" x="15"/>
        <item h="1" m="1" x="25"/>
        <item h="1" x="2"/>
        <item h="1" m="1" x="16"/>
        <item h="1" m="1" x="17"/>
        <item h="1" m="1" x="20"/>
        <item h="1" x="6"/>
        <item h="1" x="4"/>
        <item h="1" m="1" x="18"/>
        <item h="1" x="3"/>
        <item h="1" m="1" x="24"/>
        <item h="1" m="1" x="14"/>
        <item x="1"/>
        <item h="1" m="1" x="22"/>
        <item h="1" x="5"/>
        <item h="1" m="1" x="19"/>
        <item h="1" m="1" x="23"/>
        <item h="1" m="1" x="12"/>
        <item h="1" m="1" x="8"/>
        <item h="1" m="1" x="11"/>
        <item h="1" m="1" x="10"/>
        <item h="1" m="1" x="13"/>
        <item h="1" m="1" x="9"/>
        <item h="1" m="1" x="7"/>
      </items>
    </pivotField>
    <pivotField showDropDowns="0" compact="0" numFmtId="164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numFmtId="164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numFmtId="1" outline="0" showAll="0" defaultSubtotal="0"/>
    <pivotField compact="0" outline="0" showAll="0" defaultSubtotal="0"/>
  </pivotFields>
  <rowFields count="3">
    <field x="0"/>
    <field x="1"/>
    <field x="3"/>
  </rowFields>
  <rowItems count="2">
    <i>
      <x v="9"/>
      <x v="17"/>
      <x v="14"/>
    </i>
    <i t="grand">
      <x/>
    </i>
  </rowItems>
  <colItems count="1">
    <i/>
  </colItems>
  <formats count="47">
    <format dxfId="2352">
      <pivotArea field="0" type="button" dataOnly="0" labelOnly="1" outline="0" axis="axisRow" fieldPosition="0"/>
    </format>
    <format dxfId="2353">
      <pivotArea dataOnly="0" labelOnly="1" outline="0" fieldPosition="0">
        <references count="1">
          <reference field="0" count="2">
            <x v="9"/>
            <x v="14"/>
          </reference>
        </references>
      </pivotArea>
    </format>
    <format dxfId="2354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55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17"/>
          </reference>
          <reference field="3" count="0"/>
        </references>
      </pivotArea>
    </format>
    <format dxfId="2356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7"/>
          </reference>
          <reference field="3" count="0"/>
        </references>
      </pivotArea>
    </format>
    <format dxfId="2357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58">
      <pivotArea dataOnly="0" labelOnly="1" outline="0" fieldPosition="0">
        <references count="3">
          <reference field="0" count="1" selected="0">
            <x v="9"/>
          </reference>
          <reference field="1" count="1" selected="0">
            <x v="17"/>
          </reference>
          <reference field="3" count="0"/>
        </references>
      </pivotArea>
    </format>
    <format dxfId="2359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17"/>
          </reference>
          <reference field="3" count="0"/>
        </references>
      </pivotArea>
    </format>
    <format dxfId="2360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1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2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3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4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5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6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7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8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69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0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1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2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3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4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5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6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7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8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79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80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81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82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83">
      <pivotArea field="0" type="button" dataOnly="0" labelOnly="1" outline="0" axis="axisRow" fieldPosition="0"/>
    </format>
    <format dxfId="2384">
      <pivotArea field="1" type="button" dataOnly="0" labelOnly="1" outline="0" axis="axisRow" fieldPosition="1"/>
    </format>
    <format dxfId="2385">
      <pivotArea field="3" type="button" dataOnly="0" labelOnly="1" outline="0" axis="axisRow" fieldPosition="2"/>
    </format>
    <format dxfId="2386">
      <pivotArea field="0" type="button" dataOnly="0" labelOnly="1" outline="0" axis="axisRow" fieldPosition="0"/>
    </format>
    <format dxfId="2387">
      <pivotArea field="1" type="button" dataOnly="0" labelOnly="1" outline="0" axis="axisRow" fieldPosition="1"/>
    </format>
    <format dxfId="2388">
      <pivotArea field="3" type="button" dataOnly="0" labelOnly="1" outline="0" axis="axisRow" fieldPosition="2"/>
    </format>
    <format dxfId="2389">
      <pivotArea field="1" type="button" dataOnly="0" labelOnly="1" outline="0" axis="axisRow" fieldPosition="1"/>
    </format>
    <format dxfId="2390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91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92">
      <pivotArea dataOnly="0" labelOnly="1" outline="0" fieldPosition="0">
        <references count="2">
          <reference field="0" count="1" selected="0">
            <x v="15"/>
          </reference>
          <reference field="1" count="1">
            <x v="5"/>
          </reference>
        </references>
      </pivotArea>
    </format>
    <format dxfId="2393">
      <pivotArea dataOnly="0" labelOnly="1" outline="0" fieldPosition="0">
        <references count="1">
          <reference field="0" count="1">
            <x v="15"/>
          </reference>
        </references>
      </pivotArea>
    </format>
    <format dxfId="2394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95">
      <pivotArea dataOnly="0" labelOnly="1" outline="0" fieldPosition="0">
        <references count="2">
          <reference field="0" count="1" selected="0">
            <x v="16"/>
          </reference>
          <reference field="1" count="1">
            <x v="5"/>
          </reference>
        </references>
      </pivotArea>
    </format>
    <format dxfId="2396">
      <pivotArea dataOnly="0" labelOnly="1" outline="0" fieldPosition="0">
        <references count="1">
          <reference field="0" count="1">
            <x v="16"/>
          </reference>
        </references>
      </pivotArea>
    </format>
    <format dxfId="2397">
      <pivotArea dataOnly="0" labelOnly="1" outline="0" fieldPosition="0">
        <references count="2">
          <reference field="0" count="1" selected="0">
            <x v="9"/>
          </reference>
          <reference field="1" count="1">
            <x v="17"/>
          </reference>
        </references>
      </pivotArea>
    </format>
    <format dxfId="2398">
      <pivotArea dataOnly="0" labelOnly="1" outline="0" fieldPosition="0">
        <references count="2">
          <reference field="0" count="1" selected="0">
            <x v="16"/>
          </reference>
          <reference field="1" count="1">
            <x v="5"/>
          </reference>
        </references>
      </pivotArea>
    </format>
  </format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водная таблица4" cacheId="120" applyNumberFormats="0" applyBorderFormats="0" applyFontFormats="0" applyPatternFormats="0" applyAlignmentFormats="0" applyWidthHeightFormats="1" dataCaption="Значения" updatedVersion="6" minRefreshableVersion="3" showDrill="0" itemPrintTitles="1" createdVersion="6" indent="0" compact="0" compactData="0" multipleFieldFilters="0">
  <location ref="G16:J17" firstHeaderRow="1" firstDataRow="1" firstDataCol="3"/>
  <pivotFields count="20">
    <pivotField axis="axisRow" showDropDowns="0" compact="0" outline="0" showAll="0" defaultSubtotal="0">
      <items count="25">
        <item x="9"/>
        <item x="14"/>
        <item x="13"/>
        <item x="5"/>
        <item x="12"/>
        <item x="11"/>
        <item x="4"/>
        <item x="6"/>
        <item x="10"/>
        <item x="2"/>
        <item x="1"/>
        <item x="7"/>
        <item x="0"/>
        <item x="8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showDropDowns="0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</pivotField>
    <pivotField compact="0" outline="0" showAll="0" defaultSubtotal="0"/>
    <pivotField axis="axisRow" showDropDowns="0" compact="0" outline="0" showAll="0" defaultSubtotal="0">
      <items count="26">
        <item h="1" x="0"/>
        <item m="1" x="25"/>
        <item h="1" x="6"/>
        <item h="1" m="1" x="18"/>
        <item h="1" m="1" x="14"/>
        <item h="1" m="1" x="22"/>
        <item h="1" m="1" x="23"/>
        <item h="1" m="1" x="8"/>
        <item h="1" x="1"/>
        <item h="1" m="1" x="21"/>
        <item h="1" m="1" x="24"/>
        <item h="1" x="3"/>
        <item h="1" x="4"/>
        <item h="1" m="1" x="20"/>
        <item h="1" m="1" x="16"/>
        <item h="1" m="1" x="15"/>
        <item h="1" m="1" x="17"/>
        <item h="1" m="1" x="19"/>
        <item h="1" x="2"/>
        <item h="1" m="1" x="12"/>
        <item h="1" x="5"/>
        <item h="1" m="1" x="11"/>
        <item m="1" x="10"/>
        <item h="1" m="1" x="13"/>
        <item h="1" m="1" x="9"/>
        <item h="1" m="1" x="7"/>
      </items>
    </pivotField>
    <pivotField showDropDowns="0" compact="0" numFmtId="164" outline="0" showAll="0" defaultSubtotal="0"/>
    <pivotField dataField="1" showDropDowns="0" compact="0" outline="0" showAll="0" defaultSubtotal="0">
      <items count="140">
        <item x="0"/>
        <item x="6"/>
        <item x="25"/>
        <item x="35"/>
        <item x="12"/>
        <item x="37"/>
        <item x="3"/>
        <item x="16"/>
        <item m="1" x="134"/>
        <item m="1" x="132"/>
        <item x="38"/>
        <item x="34"/>
        <item x="9"/>
        <item m="1" x="123"/>
        <item x="43"/>
        <item x="30"/>
        <item x="42"/>
        <item x="14"/>
        <item x="2"/>
        <item x="39"/>
        <item x="64"/>
        <item x="24"/>
        <item x="11"/>
        <item x="50"/>
        <item x="21"/>
        <item x="26"/>
        <item x="13"/>
        <item x="52"/>
        <item x="45"/>
        <item x="7"/>
        <item x="8"/>
        <item x="27"/>
        <item x="28"/>
        <item x="48"/>
        <item x="57"/>
        <item x="19"/>
        <item x="22"/>
        <item x="47"/>
        <item x="53"/>
        <item x="17"/>
        <item x="51"/>
        <item x="40"/>
        <item x="31"/>
        <item x="56"/>
        <item x="33"/>
        <item x="4"/>
        <item x="55"/>
        <item x="60"/>
        <item x="23"/>
        <item x="41"/>
        <item x="65"/>
        <item x="1"/>
        <item x="49"/>
        <item x="15"/>
        <item x="32"/>
        <item x="20"/>
        <item x="62"/>
        <item x="59"/>
        <item x="58"/>
        <item x="61"/>
        <item x="54"/>
        <item x="36"/>
        <item x="10"/>
        <item x="5"/>
        <item x="29"/>
        <item x="18"/>
        <item x="44"/>
        <item x="46"/>
        <item x="68"/>
        <item x="73"/>
        <item m="1" x="129"/>
        <item m="1" x="116"/>
        <item m="1" x="128"/>
        <item x="67"/>
        <item x="63"/>
        <item x="66"/>
        <item m="1" x="133"/>
        <item m="1" x="136"/>
        <item m="1" x="137"/>
        <item x="71"/>
        <item m="1" x="115"/>
        <item m="1" x="138"/>
        <item m="1" x="135"/>
        <item x="69"/>
        <item m="1" x="125"/>
        <item m="1" x="114"/>
        <item x="70"/>
        <item m="1" x="119"/>
        <item x="72"/>
        <item m="1" x="139"/>
        <item m="1" x="130"/>
        <item x="76"/>
        <item x="74"/>
        <item x="75"/>
        <item m="1" x="120"/>
        <item x="77"/>
        <item x="78"/>
        <item x="82"/>
        <item x="83"/>
        <item x="81"/>
        <item x="79"/>
        <item x="80"/>
        <item m="1" x="121"/>
        <item m="1" x="118"/>
        <item m="1" x="122"/>
        <item x="84"/>
        <item x="85"/>
        <item x="86"/>
        <item x="87"/>
        <item x="88"/>
        <item x="89"/>
        <item x="90"/>
        <item m="1" x="117"/>
        <item x="92"/>
        <item x="93"/>
        <item x="97"/>
        <item x="95"/>
        <item x="96"/>
        <item m="1" x="124"/>
        <item x="99"/>
        <item m="1" x="127"/>
        <item x="94"/>
        <item m="1" x="126"/>
        <item m="1" x="113"/>
        <item x="98"/>
        <item x="103"/>
        <item m="1" x="131"/>
        <item x="105"/>
        <item x="104"/>
        <item x="91"/>
        <item x="108"/>
        <item x="109"/>
        <item x="110"/>
        <item x="100"/>
        <item x="101"/>
        <item x="102"/>
        <item x="106"/>
        <item x="111"/>
        <item x="112"/>
        <item x="107"/>
      </items>
    </pivotField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numFmtId="164" outline="0" showAll="0" defaultSubtotal="0"/>
    <pivotField showDropDowns="0" compact="0" outline="0" showAll="0" defaultSubtotal="0"/>
    <pivotField compact="0" numFmtId="1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</pivotFields>
  <rowFields count="3">
    <field x="0"/>
    <field x="1"/>
    <field x="3"/>
  </rowFields>
  <rowItems count="1">
    <i t="grand">
      <x/>
    </i>
  </rowItems>
  <colItems count="1">
    <i/>
  </colItems>
  <dataFields count="1">
    <dataField name=" Вес по  B\L мт" fld="5" baseField="3" baseItem="1" numFmtId="164"/>
  </dataFields>
  <formats count="36">
    <format dxfId="2316">
      <pivotArea field="5" type="button" dataOnly="0" labelOnly="1" outline="0"/>
    </format>
    <format dxfId="2317">
      <pivotArea outline="0" fieldPosition="0">
        <references count="1">
          <reference field="4294967294" count="1">
            <x v="0"/>
          </reference>
        </references>
      </pivotArea>
    </format>
    <format dxfId="2318">
      <pivotArea field="0" type="button" dataOnly="0" labelOnly="1" outline="0" axis="axisRow" fieldPosition="0"/>
    </format>
    <format dxfId="2319">
      <pivotArea field="1" type="button" dataOnly="0" labelOnly="1" outline="0" axis="axisRow" fieldPosition="1"/>
    </format>
    <format dxfId="2320">
      <pivotArea field="3" type="button" dataOnly="0" labelOnly="1" outline="0" axis="axisRow" fieldPosition="2"/>
    </format>
    <format dxfId="2321">
      <pivotArea dataOnly="0" labelOnly="1" outline="0" axis="axisValues" fieldPosition="0"/>
    </format>
    <format dxfId="2322">
      <pivotArea dataOnly="0" labelOnly="1" outline="0" axis="axisValues" fieldPosition="0"/>
    </format>
    <format dxfId="232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0"/>
        </references>
      </pivotArea>
    </format>
    <format dxfId="2324">
      <pivotArea dataOnly="0" labelOnly="1" outline="0" fieldPosition="0">
        <references count="1">
          <reference field="1" count="0"/>
        </references>
      </pivotArea>
    </format>
    <format dxfId="2325">
      <pivotArea dataOnly="0" labelOnly="1" outline="0" fieldPosition="0">
        <references count="3">
          <reference field="0" count="1" selected="0">
            <x v="14"/>
          </reference>
          <reference field="1" count="1" selected="0">
            <x v="2"/>
          </reference>
          <reference field="3" count="0"/>
        </references>
      </pivotArea>
    </format>
    <format dxfId="2326">
      <pivotArea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 selected="0"/>
        </references>
      </pivotArea>
    </format>
    <format dxfId="2327">
      <pivotArea dataOnly="0" labelOnly="1" outline="0" fieldPosition="0">
        <references count="1">
          <reference field="0" count="1">
            <x v="11"/>
          </reference>
        </references>
      </pivotArea>
    </format>
    <format dxfId="2328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32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/>
        </references>
      </pivotArea>
    </format>
    <format dxfId="2330">
      <pivotArea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 selected="0"/>
        </references>
      </pivotArea>
    </format>
    <format dxfId="2331">
      <pivotArea dataOnly="0" labelOnly="1" outline="0" fieldPosition="0">
        <references count="1">
          <reference field="0" count="1">
            <x v="11"/>
          </reference>
        </references>
      </pivotArea>
    </format>
    <format dxfId="2332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333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/>
        </references>
      </pivotArea>
    </format>
    <format dxfId="2334">
      <pivotArea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 selected="0"/>
        </references>
      </pivotArea>
    </format>
    <format dxfId="2335">
      <pivotArea dataOnly="0" labelOnly="1" outline="0" fieldPosition="0">
        <references count="1">
          <reference field="0" count="1">
            <x v="11"/>
          </reference>
        </references>
      </pivotArea>
    </format>
    <format dxfId="2336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337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0"/>
        </references>
      </pivotArea>
    </format>
    <format dxfId="2338">
      <pivotArea grandRow="1" outline="0" collapsedLevelsAreSubtotals="1" fieldPosition="0"/>
    </format>
    <format dxfId="2339">
      <pivotArea grandRow="1" outline="0" collapsedLevelsAreSubtotals="1" fieldPosition="0"/>
    </format>
    <format dxfId="2340">
      <pivotArea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0" selected="0"/>
        </references>
      </pivotArea>
    </format>
    <format dxfId="2341">
      <pivotArea dataOnly="0" labelOnly="1" outline="0" fieldPosition="0">
        <references count="1">
          <reference field="0" count="1">
            <x v="12"/>
          </reference>
        </references>
      </pivotArea>
    </format>
    <format dxfId="2342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343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0"/>
        </references>
      </pivotArea>
    </format>
    <format dxfId="2344">
      <pivotArea type="all" dataOnly="0" outline="0" fieldPosition="0"/>
    </format>
    <format dxfId="2345">
      <pivotArea outline="0" collapsedLevelsAreSubtotals="1" fieldPosition="0"/>
    </format>
    <format dxfId="2346">
      <pivotArea field="0" type="button" dataOnly="0" labelOnly="1" outline="0" axis="axisRow" fieldPosition="0"/>
    </format>
    <format dxfId="2347">
      <pivotArea field="1" type="button" dataOnly="0" labelOnly="1" outline="0" axis="axisRow" fieldPosition="1"/>
    </format>
    <format dxfId="2348">
      <pivotArea field="3" type="button" dataOnly="0" labelOnly="1" outline="0" axis="axisRow" fieldPosition="2"/>
    </format>
    <format dxfId="2349">
      <pivotArea dataOnly="0" labelOnly="1" outline="0" axis="axisValues" fieldPosition="0"/>
    </format>
    <format dxfId="2350">
      <pivotArea dataOnly="0" labelOnly="1" grandRow="1" outline="0" fieldPosition="0"/>
    </format>
    <format dxfId="2351">
      <pivotArea dataOnly="0" labelOnly="1" outline="0" axis="axisValues" fieldPosition="0"/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Сводная таблица3" cacheId="120" applyNumberFormats="0" applyBorderFormats="0" applyFontFormats="0" applyPatternFormats="0" applyAlignmentFormats="0" applyWidthHeightFormats="1" dataCaption="Значения" updatedVersion="6" minRefreshableVersion="3" showDrill="0" itemPrintTitles="1" createdVersion="6" indent="0" compact="0" compactData="0" multipleFieldFilters="0">
  <location ref="G7:K14" firstHeaderRow="1" firstDataRow="1" firstDataCol="4"/>
  <pivotFields count="20">
    <pivotField axis="axisRow" compact="0" outline="0" showAll="0" defaultSubtotal="0">
      <items count="25">
        <item x="9"/>
        <item x="14"/>
        <item x="13"/>
        <item x="5"/>
        <item x="12"/>
        <item x="11"/>
        <item x="4"/>
        <item x="6"/>
        <item x="10"/>
        <item x="2"/>
        <item x="1"/>
        <item x="7"/>
        <item x="0"/>
        <item x="8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</pivotField>
    <pivotField showDropDowns="0" compact="0" outline="0" showAll="0" defaultSubtotal="0"/>
    <pivotField axis="axisRow" compact="0" outline="0" showAll="0" defaultSubtotal="0">
      <items count="26">
        <item h="1" x="0"/>
        <item h="1" x="6"/>
        <item h="1" m="1" x="18"/>
        <item h="1" m="1" x="14"/>
        <item m="1" x="22"/>
        <item m="1" x="23"/>
        <item h="1" m="1" x="8"/>
        <item h="1" m="1" x="25"/>
        <item h="1" x="1"/>
        <item h="1" m="1" x="21"/>
        <item h="1" m="1" x="24"/>
        <item h="1" x="3"/>
        <item x="4"/>
        <item h="1" m="1" x="20"/>
        <item h="1" m="1" x="16"/>
        <item h="1" m="1" x="15"/>
        <item h="1" m="1" x="17"/>
        <item h="1" m="1" x="19"/>
        <item h="1" x="2"/>
        <item h="1" m="1" x="12"/>
        <item x="5"/>
        <item m="1" x="11"/>
        <item h="1" m="1" x="10"/>
        <item h="1" m="1" x="13"/>
        <item h="1" m="1" x="9"/>
        <item h="1" m="1" x="7"/>
      </items>
    </pivotField>
    <pivotField compact="0" numFmtId="164" outline="0" showAll="0" defaultSubtotal="0"/>
    <pivotField dataField="1" compact="0" outline="0" showAll="0" defaultSubtotal="0">
      <items count="140">
        <item x="0"/>
        <item x="6"/>
        <item x="25"/>
        <item x="35"/>
        <item x="12"/>
        <item x="37"/>
        <item x="3"/>
        <item x="16"/>
        <item m="1" x="134"/>
        <item m="1" x="132"/>
        <item x="38"/>
        <item x="34"/>
        <item x="9"/>
        <item m="1" x="123"/>
        <item x="43"/>
        <item x="30"/>
        <item x="42"/>
        <item x="14"/>
        <item x="2"/>
        <item x="39"/>
        <item x="64"/>
        <item x="24"/>
        <item x="11"/>
        <item x="50"/>
        <item x="21"/>
        <item x="26"/>
        <item x="13"/>
        <item x="52"/>
        <item x="45"/>
        <item x="7"/>
        <item x="8"/>
        <item x="27"/>
        <item x="28"/>
        <item x="48"/>
        <item x="57"/>
        <item x="19"/>
        <item x="22"/>
        <item x="47"/>
        <item x="53"/>
        <item x="17"/>
        <item x="51"/>
        <item x="40"/>
        <item x="31"/>
        <item x="56"/>
        <item x="33"/>
        <item x="4"/>
        <item x="55"/>
        <item x="60"/>
        <item x="23"/>
        <item x="41"/>
        <item x="65"/>
        <item x="1"/>
        <item x="49"/>
        <item x="15"/>
        <item x="32"/>
        <item x="20"/>
        <item x="62"/>
        <item x="59"/>
        <item x="58"/>
        <item x="61"/>
        <item x="54"/>
        <item x="36"/>
        <item x="10"/>
        <item x="5"/>
        <item x="29"/>
        <item x="18"/>
        <item x="44"/>
        <item x="46"/>
        <item x="68"/>
        <item x="73"/>
        <item m="1" x="129"/>
        <item m="1" x="116"/>
        <item m="1" x="128"/>
        <item x="67"/>
        <item x="63"/>
        <item x="66"/>
        <item m="1" x="133"/>
        <item m="1" x="136"/>
        <item m="1" x="137"/>
        <item x="71"/>
        <item m="1" x="115"/>
        <item m="1" x="138"/>
        <item m="1" x="135"/>
        <item x="69"/>
        <item m="1" x="125"/>
        <item m="1" x="114"/>
        <item x="70"/>
        <item m="1" x="119"/>
        <item x="72"/>
        <item m="1" x="139"/>
        <item m="1" x="130"/>
        <item x="76"/>
        <item x="74"/>
        <item x="75"/>
        <item m="1" x="120"/>
        <item x="77"/>
        <item x="78"/>
        <item x="82"/>
        <item x="83"/>
        <item x="81"/>
        <item x="79"/>
        <item x="80"/>
        <item m="1" x="121"/>
        <item m="1" x="118"/>
        <item m="1" x="122"/>
        <item x="84"/>
        <item x="85"/>
        <item x="86"/>
        <item x="87"/>
        <item x="88"/>
        <item x="89"/>
        <item x="90"/>
        <item m="1" x="117"/>
        <item x="92"/>
        <item x="93"/>
        <item x="97"/>
        <item x="95"/>
        <item x="96"/>
        <item m="1" x="124"/>
        <item x="99"/>
        <item m="1" x="127"/>
        <item x="94"/>
        <item m="1" x="126"/>
        <item m="1" x="113"/>
        <item x="98"/>
        <item x="103"/>
        <item m="1" x="131"/>
        <item x="105"/>
        <item x="104"/>
        <item x="91"/>
        <item x="108"/>
        <item x="109"/>
        <item x="110"/>
        <item x="100"/>
        <item x="101"/>
        <item x="102"/>
        <item x="106"/>
        <item x="111"/>
        <item x="112"/>
        <item x="1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0"/>
        <item x="1"/>
        <item m="1" x="2"/>
      </items>
    </pivotField>
    <pivotField compact="0" outline="0" showAll="0" defaultSubtotal="0"/>
    <pivotField compact="0" outline="0" showAll="0" defaultSubtotal="0"/>
    <pivotField compact="0" numFmtId="164" outline="0" showAll="0" defaultSubtotal="0"/>
    <pivotField compact="0" outline="0" showAll="0" defaultSubtotal="0"/>
    <pivotField showDropDowns="0" compact="0" numFmtId="1" outline="0" showAll="0" defaultSubtotal="0"/>
    <pivotField showDropDowns="0" compact="0" outline="0" showAll="0" defaultSubtotal="0"/>
    <pivotField showDropDowns="0" compact="0" numFmtId="1" outline="0" showAll="0" defaultSubtotal="0"/>
    <pivotField compact="0" outline="0" showAll="0" defaultSubtotal="0"/>
  </pivotFields>
  <rowFields count="4">
    <field x="0"/>
    <field x="1"/>
    <field x="3"/>
    <field x="11"/>
  </rowFields>
  <rowItems count="7">
    <i>
      <x v="3"/>
      <x v="4"/>
      <x v="20"/>
      <x/>
    </i>
    <i>
      <x v="4"/>
      <x v="11"/>
      <x v="12"/>
      <x/>
    </i>
    <i>
      <x v="10"/>
      <x v="2"/>
      <x v="12"/>
      <x/>
    </i>
    <i r="1">
      <x v="19"/>
      <x v="12"/>
      <x/>
    </i>
    <i>
      <x v="17"/>
      <x v="6"/>
      <x v="12"/>
      <x/>
    </i>
    <i>
      <x v="24"/>
      <x v="19"/>
      <x v="12"/>
      <x/>
    </i>
    <i t="grand">
      <x/>
    </i>
  </rowItems>
  <colItems count="1">
    <i/>
  </colItems>
  <dataFields count="1">
    <dataField name=" Вес по  B\L  мт" fld="5" baseField="3" baseItem="5" numFmtId="164"/>
  </dataFields>
  <formats count="118">
    <format dxfId="2198">
      <pivotArea field="0" type="button" dataOnly="0" labelOnly="1" outline="0" axis="axisRow" fieldPosition="0"/>
    </format>
    <format dxfId="2199">
      <pivotArea field="1" type="button" dataOnly="0" labelOnly="1" outline="0" axis="axisRow" fieldPosition="1"/>
    </format>
    <format dxfId="2200">
      <pivotArea field="3" type="button" dataOnly="0" labelOnly="1" outline="0" axis="axisRow" fieldPosition="2"/>
    </format>
    <format dxfId="2201">
      <pivotArea field="5" type="button" dataOnly="0" labelOnly="1" outline="0"/>
    </format>
    <format dxfId="2202">
      <pivotArea outline="0" fieldPosition="0">
        <references count="1">
          <reference field="4294967294" count="1">
            <x v="0"/>
          </reference>
        </references>
      </pivotArea>
    </format>
    <format dxfId="2203">
      <pivotArea dataOnly="0" labelOnly="1" outline="0" axis="axisValues" fieldPosition="0"/>
    </format>
    <format dxfId="2204">
      <pivotArea dataOnly="0" labelOnly="1" outline="0" axis="axisValues" fieldPosition="0"/>
    </format>
    <format dxfId="2205">
      <pivotArea dataOnly="0" labelOnly="1" outline="0" fieldPosition="0">
        <references count="1">
          <reference field="0" count="2">
            <x v="8"/>
            <x v="10"/>
          </reference>
        </references>
      </pivotArea>
    </format>
    <format dxfId="2206">
      <pivotArea dataOnly="0" labelOnly="1" outline="0" fieldPosition="0">
        <references count="2">
          <reference field="0" count="1" selected="0">
            <x v="8"/>
          </reference>
          <reference field="1" count="1">
            <x v="9"/>
          </reference>
        </references>
      </pivotArea>
    </format>
    <format dxfId="2207">
      <pivotArea dataOnly="0" labelOnly="1" outline="0" fieldPosition="0">
        <references count="2">
          <reference field="0" count="1" selected="0">
            <x v="10"/>
          </reference>
          <reference field="1" count="1">
            <x v="4"/>
          </reference>
        </references>
      </pivotArea>
    </format>
    <format dxfId="2208">
      <pivotArea dataOnly="0" labelOnly="1" outline="0" fieldPosition="0">
        <references count="2">
          <reference field="0" count="1" selected="0">
            <x v="8"/>
          </reference>
          <reference field="1" count="1">
            <x v="9"/>
          </reference>
        </references>
      </pivotArea>
    </format>
    <format dxfId="2209">
      <pivotArea dataOnly="0" labelOnly="1" outline="0" fieldPosition="0">
        <references count="2">
          <reference field="0" count="1" selected="0">
            <x v="10"/>
          </reference>
          <reference field="1" count="1">
            <x v="4"/>
          </reference>
        </references>
      </pivotArea>
    </format>
    <format dxfId="2210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11">
      <pivotArea dataOnly="0" labelOnly="1" outline="0" fieldPosition="0">
        <references count="2">
          <reference field="0" count="1" selected="0">
            <x v="14"/>
          </reference>
          <reference field="1" count="1">
            <x v="2"/>
          </reference>
        </references>
      </pivotArea>
    </format>
    <format dxfId="2212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2213">
      <pivotArea dataOnly="0" labelOnly="1" outline="0" fieldPosition="0">
        <references count="2">
          <reference field="0" count="1" selected="0">
            <x v="8"/>
          </reference>
          <reference field="1" count="1">
            <x v="9"/>
          </reference>
        </references>
      </pivotArea>
    </format>
    <format dxfId="2214">
      <pivotArea dataOnly="0" labelOnly="1" outline="0" fieldPosition="0">
        <references count="2">
          <reference field="0" count="1" selected="0">
            <x v="10"/>
          </reference>
          <reference field="1" count="1">
            <x v="4"/>
          </reference>
        </references>
      </pivotArea>
    </format>
    <format dxfId="2215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16">
      <pivotArea dataOnly="0" labelOnly="1" outline="0" fieldPosition="0">
        <references count="2">
          <reference field="0" count="1" selected="0">
            <x v="14"/>
          </reference>
          <reference field="1" count="1">
            <x v="2"/>
          </reference>
        </references>
      </pivotArea>
    </format>
    <format dxfId="2217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2218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19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20">
      <pivotArea outline="0" fieldPosition="0">
        <references count="3">
          <reference field="0" count="3" selected="0">
            <x v="8"/>
            <x v="11"/>
            <x v="12"/>
          </reference>
          <reference field="1" count="3" selected="0">
            <x v="2"/>
            <x v="4"/>
            <x v="7"/>
          </reference>
          <reference field="3" count="0" selected="0"/>
        </references>
      </pivotArea>
    </format>
    <format dxfId="2221">
      <pivotArea grandRow="1" outline="0" collapsedLevelsAreSubtotals="1" fieldPosition="0"/>
    </format>
    <format dxfId="222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19"/>
          </reference>
        </references>
      </pivotArea>
    </format>
    <format dxfId="2223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19"/>
          </reference>
        </references>
      </pivotArea>
    </format>
    <format dxfId="222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25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26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27">
      <pivotArea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 selected="0">
            <x v="12"/>
          </reference>
        </references>
      </pivotArea>
    </format>
    <format dxfId="2228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9"/>
          </reference>
        </references>
      </pivotArea>
    </format>
    <format dxfId="2229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19"/>
          </reference>
        </references>
      </pivotArea>
    </format>
    <format dxfId="2230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3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9"/>
          </reference>
        </references>
      </pivotArea>
    </format>
    <format dxfId="2232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19"/>
          </reference>
        </references>
      </pivotArea>
    </format>
    <format dxfId="2233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19"/>
          </reference>
        </references>
      </pivotArea>
    </format>
    <format dxfId="223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9"/>
          </reference>
        </references>
      </pivotArea>
    </format>
    <format dxfId="223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19"/>
          </reference>
        </references>
      </pivotArea>
    </format>
    <format dxfId="2236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19"/>
          </reference>
        </references>
      </pivotArea>
    </format>
    <format dxfId="2237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19"/>
          </reference>
        </references>
      </pivotArea>
    </format>
    <format dxfId="223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3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20"/>
          </reference>
        </references>
      </pivotArea>
    </format>
    <format dxfId="2240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20"/>
          </reference>
        </references>
      </pivotArea>
    </format>
    <format dxfId="2241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20"/>
          </reference>
        </references>
      </pivotArea>
    </format>
    <format dxfId="2242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2243">
      <pivotArea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3" count="1" selected="0">
            <x v="12"/>
          </reference>
        </references>
      </pivotArea>
    </format>
    <format dxfId="2244">
      <pivotArea outline="0" fieldPosition="0">
        <references count="3">
          <reference field="0" count="4" selected="0">
            <x v="4"/>
            <x v="8"/>
            <x v="11"/>
            <x v="12"/>
          </reference>
          <reference field="1" count="3" selected="0">
            <x v="2"/>
            <x v="4"/>
            <x v="7"/>
          </reference>
          <reference field="3" count="0" selected="0"/>
        </references>
      </pivotArea>
    </format>
    <format dxfId="2245">
      <pivotArea dataOnly="0" labelOnly="1" outline="0" fieldPosition="0">
        <references count="1">
          <reference field="0" count="4">
            <x v="4"/>
            <x v="8"/>
            <x v="11"/>
            <x v="12"/>
          </reference>
        </references>
      </pivotArea>
    </format>
    <format dxfId="2246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47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48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4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50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4"/>
          </reference>
        </references>
      </pivotArea>
    </format>
    <format dxfId="2251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4"/>
          </reference>
        </references>
      </pivotArea>
    </format>
    <format dxfId="225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4"/>
          </reference>
        </references>
      </pivotArea>
    </format>
    <format dxfId="225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5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4"/>
          </reference>
        </references>
      </pivotArea>
    </format>
    <format dxfId="225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4"/>
          </reference>
        </references>
      </pivotArea>
    </format>
    <format dxfId="225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4"/>
          </reference>
        </references>
      </pivotArea>
    </format>
    <format dxfId="2257">
      <pivotArea outline="0" collapsedLevelsAreSubtotals="1" fieldPosition="0"/>
    </format>
    <format dxfId="2258">
      <pivotArea dataOnly="0" labelOnly="1" outline="0" fieldPosition="0">
        <references count="1">
          <reference field="0" count="4">
            <x v="4"/>
            <x v="8"/>
            <x v="11"/>
            <x v="12"/>
          </reference>
        </references>
      </pivotArea>
    </format>
    <format dxfId="2259">
      <pivotArea dataOnly="0" labelOnly="1" grandRow="1" outline="0" fieldPosition="0"/>
    </format>
    <format dxfId="226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61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62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6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6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4"/>
          </reference>
        </references>
      </pivotArea>
    </format>
    <format dxfId="226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4"/>
          </reference>
        </references>
      </pivotArea>
    </format>
    <format dxfId="226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4"/>
          </reference>
        </references>
      </pivotArea>
    </format>
    <format dxfId="2267">
      <pivotArea outline="0" collapsedLevelsAreSubtotals="1" fieldPosition="0"/>
    </format>
    <format dxfId="2268">
      <pivotArea dataOnly="0" labelOnly="1" outline="0" fieldPosition="0">
        <references count="1">
          <reference field="0" count="4">
            <x v="4"/>
            <x v="8"/>
            <x v="11"/>
            <x v="12"/>
          </reference>
        </references>
      </pivotArea>
    </format>
    <format dxfId="2269">
      <pivotArea dataOnly="0" labelOnly="1" grandRow="1" outline="0" fieldPosition="0"/>
    </format>
    <format dxfId="227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71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72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7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7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4"/>
          </reference>
        </references>
      </pivotArea>
    </format>
    <format dxfId="227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4"/>
          </reference>
        </references>
      </pivotArea>
    </format>
    <format dxfId="227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4"/>
          </reference>
        </references>
      </pivotArea>
    </format>
    <format dxfId="2277">
      <pivotArea outline="0" collapsedLevelsAreSubtotals="1" fieldPosition="0"/>
    </format>
    <format dxfId="2278">
      <pivotArea dataOnly="0" labelOnly="1" outline="0" fieldPosition="0">
        <references count="1">
          <reference field="0" count="4">
            <x v="4"/>
            <x v="8"/>
            <x v="11"/>
            <x v="12"/>
          </reference>
        </references>
      </pivotArea>
    </format>
    <format dxfId="2279">
      <pivotArea dataOnly="0" labelOnly="1" grandRow="1" outline="0" fieldPosition="0"/>
    </format>
    <format dxfId="228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281">
      <pivotArea dataOnly="0" labelOnly="1" outline="0" fieldPosition="0">
        <references count="2">
          <reference field="0" count="1" selected="0">
            <x v="11"/>
          </reference>
          <reference field="1" count="1">
            <x v="2"/>
          </reference>
        </references>
      </pivotArea>
    </format>
    <format dxfId="2282">
      <pivotArea dataOnly="0" labelOnly="1" outline="0" fieldPosition="0">
        <references count="2">
          <reference field="0" count="1" selected="0">
            <x v="12"/>
          </reference>
          <reference field="1" count="1">
            <x v="7"/>
          </reference>
        </references>
      </pivotArea>
    </format>
    <format dxfId="228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3" count="1">
            <x v="12"/>
          </reference>
        </references>
      </pivotArea>
    </format>
    <format dxfId="228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1">
            <x v="4"/>
          </reference>
        </references>
      </pivotArea>
    </format>
    <format dxfId="2285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2"/>
          </reference>
          <reference field="3" count="1">
            <x v="4"/>
          </reference>
        </references>
      </pivotArea>
    </format>
    <format dxfId="2286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3" count="1">
            <x v="4"/>
          </reference>
        </references>
      </pivotArea>
    </format>
    <format dxfId="228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3" count="0"/>
        </references>
      </pivotArea>
    </format>
    <format dxfId="2288">
      <pivotArea dataOnly="0" labelOnly="1" outline="0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3" count="0"/>
        </references>
      </pivotArea>
    </format>
    <format dxfId="2289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3" count="0"/>
        </references>
      </pivotArea>
    </format>
    <format dxfId="229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5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8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3" count="0" selected="0"/>
          <reference field="11" count="1">
            <x v="0"/>
          </reference>
        </references>
      </pivotArea>
    </format>
    <format dxfId="2299">
      <pivotArea field="11" type="button" dataOnly="0" labelOnly="1" outline="0" axis="axisRow" fieldPosition="3"/>
    </format>
    <format dxfId="2300">
      <pivotArea dataOnly="0" labelOnly="1" outline="0" fieldPosition="0">
        <references count="1">
          <reference field="0" count="3">
            <x v="17"/>
            <x v="18"/>
            <x v="20"/>
          </reference>
        </references>
      </pivotArea>
    </format>
    <format dxfId="2301">
      <pivotArea dataOnly="0" labelOnly="1" outline="0" fieldPosition="0">
        <references count="1">
          <reference field="0" count="2">
            <x v="3"/>
            <x v="4"/>
          </reference>
        </references>
      </pivotArea>
    </format>
    <format dxfId="2302">
      <pivotArea dataOnly="0" labelOnly="1" outline="0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2303">
      <pivotArea dataOnly="0" labelOnly="1" outline="0" fieldPosition="0">
        <references count="2">
          <reference field="0" count="1" selected="0">
            <x v="4"/>
          </reference>
          <reference field="1" count="1">
            <x v="11"/>
          </reference>
        </references>
      </pivotArea>
    </format>
    <format dxfId="2304">
      <pivotArea dataOnly="0" labelOnly="1" outline="0" fieldPosition="0">
        <references count="2">
          <reference field="0" count="1" selected="0">
            <x v="17"/>
          </reference>
          <reference field="1" count="1">
            <x v="4"/>
          </reference>
        </references>
      </pivotArea>
    </format>
    <format dxfId="2305">
      <pivotArea dataOnly="0" labelOnly="1" outline="0" fieldPosition="0">
        <references count="2">
          <reference field="0" count="1" selected="0">
            <x v="20"/>
          </reference>
          <reference field="1" count="1">
            <x v="2"/>
          </reference>
        </references>
      </pivotArea>
    </format>
    <format dxfId="230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3" count="1" selected="0">
            <x v="20"/>
          </reference>
          <reference field="11" count="1">
            <x v="0"/>
          </reference>
        </references>
      </pivotArea>
    </format>
    <format dxfId="230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1"/>
          </reference>
          <reference field="3" count="1" selected="0">
            <x v="20"/>
          </reference>
          <reference field="11" count="1">
            <x v="0"/>
          </reference>
        </references>
      </pivotArea>
    </format>
    <format dxfId="2308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"/>
          </reference>
          <reference field="3" count="1" selected="0">
            <x v="4"/>
          </reference>
          <reference field="11" count="1">
            <x v="0"/>
          </reference>
        </references>
      </pivotArea>
    </format>
    <format dxfId="2309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4"/>
          </reference>
          <reference field="3" count="1" selected="0">
            <x v="4"/>
          </reference>
          <reference field="11" count="1">
            <x v="0"/>
          </reference>
        </references>
      </pivotArea>
    </format>
    <format dxfId="2310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"/>
          </reference>
          <reference field="3" count="1" selected="0">
            <x v="4"/>
          </reference>
          <reference field="11" count="1">
            <x v="0"/>
          </reference>
        </references>
      </pivotArea>
    </format>
    <format dxfId="231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3" count="1" selected="0">
            <x v="20"/>
          </reference>
          <reference field="11" count="1">
            <x v="0"/>
          </reference>
        </references>
      </pivotArea>
    </format>
    <format dxfId="231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1"/>
          </reference>
          <reference field="3" count="1" selected="0">
            <x v="20"/>
          </reference>
          <reference field="11" count="1">
            <x v="0"/>
          </reference>
        </references>
      </pivotArea>
    </format>
    <format dxfId="2313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4"/>
          </reference>
          <reference field="3" count="1" selected="0">
            <x v="4"/>
          </reference>
          <reference field="11" count="1">
            <x v="0"/>
          </reference>
        </references>
      </pivotArea>
    </format>
    <format dxfId="2314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4"/>
          </reference>
          <reference field="3" count="1" selected="0">
            <x v="4"/>
          </reference>
          <reference field="11" count="1">
            <x v="0"/>
          </reference>
        </references>
      </pivotArea>
    </format>
    <format dxfId="2315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2"/>
          </reference>
          <reference field="3" count="1" selected="0">
            <x v="4"/>
          </reference>
          <reference field="11" count="1">
            <x v="0"/>
          </reference>
        </references>
      </pivotArea>
    </format>
  </formats>
  <pivotTableStyleInfo name="PivotStyleMedium7" showRowHeaders="0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Сводная таблица5" cacheId="120" applyNumberFormats="0" applyBorderFormats="0" applyFontFormats="0" applyPatternFormats="0" applyAlignmentFormats="0" applyWidthHeightFormats="1" dataCaption="Значения" updatedVersion="6" minRefreshableVersion="3" showDrill="0" itemPrintTitles="1" createdVersion="6" indent="0" compact="0" compactData="0" multipleFieldFilters="0">
  <location ref="A30:G31" firstHeaderRow="1" firstDataRow="1" firstDataCol="6"/>
  <pivotFields count="20">
    <pivotField axis="axisRow" showDropDowns="0" compact="0" outline="0" showAll="0" defaultSubtotal="0">
      <items count="25">
        <item x="9"/>
        <item x="14"/>
        <item x="13"/>
        <item x="5"/>
        <item x="12"/>
        <item x="11"/>
        <item x="4"/>
        <item x="6"/>
        <item x="10"/>
        <item x="2"/>
        <item x="1"/>
        <item x="7"/>
        <item x="0"/>
        <item x="8"/>
        <item x="3"/>
        <item m="1" x="24"/>
        <item x="16"/>
        <item x="15"/>
        <item x="17"/>
        <item x="18"/>
        <item x="19"/>
        <item x="20"/>
        <item x="21"/>
        <item x="22"/>
        <item x="23"/>
      </items>
    </pivotField>
    <pivotField axis="axisRow" showDropDowns="0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</pivotField>
    <pivotField compact="0" outline="0" showAll="0" defaultSubtotal="0"/>
    <pivotField axis="axisRow" showDropDowns="0" compact="0" outline="0" showAll="0" defaultSubtotal="0">
      <items count="26">
        <item h="1" x="0"/>
        <item h="1" m="1" x="25"/>
        <item h="1" x="6"/>
        <item h="1" m="1" x="18"/>
        <item m="1" x="14"/>
        <item h="1" m="1" x="22"/>
        <item h="1" m="1" x="23"/>
        <item h="1" m="1" x="8"/>
        <item h="1" x="1"/>
        <item h="1" m="1" x="21"/>
        <item m="1" x="24"/>
        <item h="1" x="3"/>
        <item h="1" x="4"/>
        <item h="1" m="1" x="20"/>
        <item h="1" m="1" x="16"/>
        <item h="1" m="1" x="15"/>
        <item h="1" m="1" x="17"/>
        <item h="1" m="1" x="19"/>
        <item h="1" x="2"/>
        <item h="1" m="1" x="12"/>
        <item h="1" x="5"/>
        <item h="1" m="1" x="11"/>
        <item h="1" m="1" x="10"/>
        <item h="1" m="1" x="13"/>
        <item h="1" m="1" x="9"/>
        <item h="1" m="1" x="7"/>
      </items>
    </pivotField>
    <pivotField showDropDowns="0" compact="0" numFmtId="164" outline="0" showAll="0" defaultSubtotal="0"/>
    <pivotField dataField="1" showDropDowns="0" compact="0" outline="0" showAll="0" defaultSubtotal="0"/>
    <pivotField showDropDowns="0" compact="0" outline="0" showAll="0" defaultSubtotal="0"/>
    <pivotField showDropDowns="0" compact="0" outline="0" showAll="0" defaultSubtotal="0"/>
    <pivotField showDropDowns="0" compact="0" outline="0" showAll="0" defaultSubtotal="0"/>
    <pivotField axis="axisRow" showDropDowns="0" compact="0" outline="0" showAll="0" defaultSubtotal="0">
      <items count="92">
        <item x="7"/>
        <item x="0"/>
        <item x="5"/>
        <item x="1"/>
        <item x="4"/>
        <item x="6"/>
        <item x="2"/>
        <item x="3"/>
        <item x="8"/>
        <item x="12"/>
        <item x="9"/>
        <item x="11"/>
        <item x="13"/>
        <item x="10"/>
        <item x="15"/>
        <item x="14"/>
        <item x="16"/>
        <item x="20"/>
        <item x="18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8"/>
        <item x="46"/>
        <item x="47"/>
        <item x="49"/>
        <item x="54"/>
        <item x="50"/>
        <item x="53"/>
        <item x="51"/>
        <item m="1" x="91"/>
        <item x="52"/>
        <item x="58"/>
        <item x="55"/>
        <item x="56"/>
        <item x="57"/>
        <item x="61"/>
        <item x="59"/>
        <item x="60"/>
        <item x="62"/>
        <item x="63"/>
        <item x="66"/>
        <item x="67"/>
        <item x="65"/>
        <item x="64"/>
        <item x="68"/>
        <item x="69"/>
        <item x="70"/>
        <item x="71"/>
        <item x="72"/>
        <item x="73"/>
        <item x="74"/>
        <item x="76"/>
        <item x="77"/>
        <item x="79"/>
        <item m="1" x="90"/>
        <item x="75"/>
        <item x="78"/>
        <item x="83"/>
        <item x="85"/>
        <item x="84"/>
        <item x="87"/>
        <item x="88"/>
        <item x="89"/>
        <item x="80"/>
        <item x="81"/>
        <item x="82"/>
        <item x="86"/>
      </items>
    </pivotField>
    <pivotField axis="axisRow" showDropDowns="0" compact="0" outline="0" showAll="0" defaultSubtotal="0">
      <items count="9">
        <item x="4"/>
        <item x="3"/>
        <item x="1"/>
        <item x="6"/>
        <item x="0"/>
        <item x="2"/>
        <item x="5"/>
        <item x="7"/>
        <item m="1" x="8"/>
      </items>
    </pivotField>
    <pivotField axis="axisRow" showDropDowns="0" compact="0" outline="0" showAll="0" defaultSubtotal="0">
      <items count="3">
        <item x="0"/>
        <item x="1"/>
        <item m="1" x="2"/>
      </items>
    </pivotField>
    <pivotField showDropDowns="0" compact="0" outline="0" showAll="0" defaultSubtotal="0"/>
    <pivotField showDropDowns="0" compact="0" outline="0" showAll="0" defaultSubtotal="0"/>
    <pivotField showDropDowns="0" compact="0" numFmtId="164" outline="0" showAll="0" defaultSubtotal="0"/>
    <pivotField showDropDowns="0" compact="0" outline="0" showAll="0" defaultSubtotal="0"/>
    <pivotField showDropDowns="0" compact="0" numFmtId="1" outline="0" showAll="0" defaultSubtotal="0"/>
    <pivotField showDropDowns="0" compact="0" outline="0" showAll="0" defaultSubtotal="0"/>
    <pivotField compact="0" numFmtId="1" outline="0" showAll="0" defaultSubtotal="0"/>
    <pivotField compact="0" outline="0" showAll="0" defaultSubtotal="0"/>
  </pivotFields>
  <rowFields count="6">
    <field x="0"/>
    <field x="1"/>
    <field x="9"/>
    <field x="10"/>
    <field x="3"/>
    <field x="11"/>
  </rowFields>
  <rowItems count="1">
    <i t="grand">
      <x/>
    </i>
  </rowItems>
  <colItems count="1">
    <i/>
  </colItems>
  <dataFields count="1">
    <dataField name=" Вес по  B\L" fld="5" baseField="3" baseItem="7" numFmtId="164"/>
  </dataFields>
  <formats count="213">
    <format dxfId="1853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5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55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5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57">
      <pivotArea field="9" type="button" dataOnly="0" labelOnly="1" outline="0" axis="axisRow" fieldPosition="2"/>
    </format>
    <format dxfId="1858">
      <pivotArea field="9" type="button" dataOnly="0" labelOnly="1" outline="0" axis="axisRow" fieldPosition="2"/>
    </format>
    <format dxfId="1859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60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61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6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63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6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65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6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67">
      <pivotArea grandRow="1" outline="0" collapsedLevelsAreSubtotals="1" fieldPosition="0"/>
    </format>
    <format dxfId="1868">
      <pivotArea dataOnly="0" labelOnly="1" outline="0" fieldPosition="0">
        <references count="1">
          <reference field="0" count="3">
            <x v="1"/>
            <x v="2"/>
            <x v="13"/>
          </reference>
        </references>
      </pivotArea>
    </format>
    <format dxfId="1869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70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71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7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73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7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75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7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77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78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79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80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1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8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3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4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5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8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7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88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89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90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91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89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89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9" count="1">
            <x v="50"/>
          </reference>
        </references>
      </pivotArea>
    </format>
    <format dxfId="189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9" count="1">
            <x v="47"/>
          </reference>
        </references>
      </pivotArea>
    </format>
    <format dxfId="1895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9" count="1">
            <x v="51"/>
          </reference>
        </references>
      </pivotArea>
    </format>
    <format dxfId="189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9" count="1" selected="0">
            <x v="50"/>
          </reference>
          <reference field="10" count="1">
            <x v="3"/>
          </reference>
        </references>
      </pivotArea>
    </format>
    <format dxfId="189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898">
      <pivotArea field="10" type="button" dataOnly="0" labelOnly="1" outline="0" axis="axisRow" fieldPosition="3"/>
    </format>
    <format dxfId="1899">
      <pivotArea field="10" type="button" dataOnly="0" labelOnly="1" outline="0" axis="axisRow" fieldPosition="3"/>
    </format>
    <format dxfId="1900">
      <pivotArea outline="0" fieldPosition="0">
        <references count="5">
          <reference field="0" count="3" selected="0">
            <x v="1"/>
            <x v="2"/>
            <x v="13"/>
          </reference>
          <reference field="1" count="2" selected="0">
            <x v="2"/>
            <x v="3"/>
          </reference>
          <reference field="3" count="0" selected="0"/>
          <reference field="9" count="3" selected="0">
            <x v="47"/>
            <x v="50"/>
            <x v="51"/>
          </reference>
          <reference field="10" count="2" selected="0">
            <x v="3"/>
            <x v="7"/>
          </reference>
        </references>
      </pivotArea>
    </format>
    <format dxfId="1901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902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90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9" count="1">
            <x v="50"/>
          </reference>
        </references>
      </pivotArea>
    </format>
    <format dxfId="1904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9" count="1">
            <x v="47"/>
          </reference>
        </references>
      </pivotArea>
    </format>
    <format dxfId="1905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9" count="1">
            <x v="51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9" count="1" selected="0">
            <x v="50"/>
          </reference>
          <reference field="10" count="1">
            <x v="3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08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0"/>
          </reference>
          <reference field="10" count="1" selected="0">
            <x v="3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3" count="1">
            <x v="4"/>
          </reference>
          <reference field="9" count="1" selected="0">
            <x v="47"/>
          </reference>
          <reference field="10" count="1" selected="0">
            <x v="7"/>
          </reference>
        </references>
      </pivotArea>
    </format>
    <format dxfId="1910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3" count="1">
            <x v="10"/>
          </reference>
          <reference field="9" count="1" selected="0">
            <x v="51"/>
          </reference>
          <reference field="10" count="1" selected="0">
            <x v="7"/>
          </reference>
        </references>
      </pivotArea>
    </format>
    <format dxfId="1911">
      <pivotArea outline="0" fieldPosition="0">
        <references count="5">
          <reference field="0" count="3" selected="0">
            <x v="1"/>
            <x v="2"/>
            <x v="13"/>
          </reference>
          <reference field="1" count="2" selected="0">
            <x v="2"/>
            <x v="3"/>
          </reference>
          <reference field="3" count="0" selected="0"/>
          <reference field="9" count="3" selected="0">
            <x v="47"/>
            <x v="50"/>
            <x v="51"/>
          </reference>
          <reference field="10" count="2" selected="0">
            <x v="3"/>
            <x v="7"/>
          </reference>
        </references>
      </pivotArea>
    </format>
    <format dxfId="1912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913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91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9" count="1">
            <x v="50"/>
          </reference>
        </references>
      </pivotArea>
    </format>
    <format dxfId="1915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9" count="1">
            <x v="47"/>
          </reference>
        </references>
      </pivotArea>
    </format>
    <format dxfId="1916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9" count="1">
            <x v="51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9" count="1" selected="0">
            <x v="50"/>
          </reference>
          <reference field="10" count="1">
            <x v="3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19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0"/>
          </reference>
          <reference field="10" count="1" selected="0">
            <x v="3"/>
          </reference>
        </references>
      </pivotArea>
    </format>
    <format dxfId="1920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3" count="1">
            <x v="4"/>
          </reference>
          <reference field="9" count="1" selected="0">
            <x v="47"/>
          </reference>
          <reference field="10" count="1" selected="0">
            <x v="7"/>
          </reference>
        </references>
      </pivotArea>
    </format>
    <format dxfId="1921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3" count="1">
            <x v="10"/>
          </reference>
          <reference field="9" count="1" selected="0">
            <x v="51"/>
          </reference>
          <reference field="10" count="1" selected="0">
            <x v="7"/>
          </reference>
        </references>
      </pivotArea>
    </format>
    <format dxfId="1922">
      <pivotArea field="0" type="button" dataOnly="0" labelOnly="1" outline="0" axis="axisRow" fieldPosition="0"/>
    </format>
    <format dxfId="1923">
      <pivotArea field="1" type="button" dataOnly="0" labelOnly="1" outline="0" axis="axisRow" fieldPosition="1"/>
    </format>
    <format dxfId="1924">
      <pivotArea field="9" type="button" dataOnly="0" labelOnly="1" outline="0" axis="axisRow" fieldPosition="2"/>
    </format>
    <format dxfId="1925">
      <pivotArea field="10" type="button" dataOnly="0" labelOnly="1" outline="0" axis="axisRow" fieldPosition="3"/>
    </format>
    <format dxfId="1926">
      <pivotArea field="3" type="button" dataOnly="0" labelOnly="1" outline="0" axis="axisRow" fieldPosition="4"/>
    </format>
    <format dxfId="1927">
      <pivotArea dataOnly="0" labelOnly="1" outline="0" axis="axisValues" fieldPosition="0"/>
    </format>
    <format dxfId="1928">
      <pivotArea dataOnly="0" labelOnly="1" outline="0" axis="axisValues" fieldPosition="0"/>
    </format>
    <format dxfId="1929">
      <pivotArea outline="0" fieldPosition="0">
        <references count="5">
          <reference field="0" count="3" selected="0">
            <x v="1"/>
            <x v="2"/>
            <x v="13"/>
          </reference>
          <reference field="1" count="2" selected="0">
            <x v="2"/>
            <x v="3"/>
          </reference>
          <reference field="3" count="0" selected="0"/>
          <reference field="9" count="3" selected="0">
            <x v="47"/>
            <x v="50"/>
            <x v="51"/>
          </reference>
          <reference field="10" count="2" selected="0">
            <x v="3"/>
            <x v="7"/>
          </reference>
        </references>
      </pivotArea>
    </format>
    <format dxfId="193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9" count="1">
            <x v="50"/>
          </reference>
        </references>
      </pivotArea>
    </format>
    <format dxfId="193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9" count="1">
            <x v="47"/>
          </reference>
        </references>
      </pivotArea>
    </format>
    <format dxfId="1932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9" count="1">
            <x v="51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9" count="1" selected="0">
            <x v="50"/>
          </reference>
          <reference field="10" count="1">
            <x v="3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35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0"/>
          </reference>
          <reference field="10" count="1" selected="0">
            <x v="3"/>
          </reference>
        </references>
      </pivotArea>
    </format>
    <format dxfId="1936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3" count="1">
            <x v="4"/>
          </reference>
          <reference field="9" count="1" selected="0">
            <x v="47"/>
          </reference>
          <reference field="10" count="1" selected="0">
            <x v="7"/>
          </reference>
        </references>
      </pivotArea>
    </format>
    <format dxfId="1937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3" count="1">
            <x v="10"/>
          </reference>
          <reference field="9" count="1" selected="0">
            <x v="51"/>
          </reference>
          <reference field="10" count="1" selected="0">
            <x v="7"/>
          </reference>
        </references>
      </pivotArea>
    </format>
    <format dxfId="1938">
      <pivotArea outline="0" fieldPosition="0">
        <references count="5">
          <reference field="0" count="3" selected="0">
            <x v="1"/>
            <x v="2"/>
            <x v="13"/>
          </reference>
          <reference field="1" count="2" selected="0">
            <x v="2"/>
            <x v="3"/>
          </reference>
          <reference field="3" count="0" selected="0"/>
          <reference field="9" count="3" selected="0">
            <x v="47"/>
            <x v="50"/>
            <x v="51"/>
          </reference>
          <reference field="10" count="2" selected="0">
            <x v="3"/>
            <x v="7"/>
          </reference>
        </references>
      </pivotArea>
    </format>
    <format dxfId="1939">
      <pivotArea dataOnly="0" labelOnly="1" outline="0" fieldPosition="0">
        <references count="1">
          <reference field="0" count="3">
            <x v="1"/>
            <x v="2"/>
            <x v="13"/>
          </reference>
        </references>
      </pivotArea>
    </format>
    <format dxfId="1940">
      <pivotArea dataOnly="0" labelOnly="1" outline="0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19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94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9" count="1">
            <x v="50"/>
          </reference>
        </references>
      </pivotArea>
    </format>
    <format dxfId="194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9" count="1">
            <x v="47"/>
          </reference>
        </references>
      </pivotArea>
    </format>
    <format dxfId="1944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2"/>
          </reference>
          <reference field="9" count="1">
            <x v="51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9" count="1" selected="0">
            <x v="50"/>
          </reference>
          <reference field="10" count="1">
            <x v="3"/>
          </reference>
        </references>
      </pivotArea>
    </format>
    <format dxfId="194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47">
      <pivotArea dataOnly="0" labelOnly="1" outline="0" fieldPosition="0">
        <references count="5">
          <reference field="0" count="1" selected="0">
            <x v="1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0"/>
          </reference>
          <reference field="10" count="1" selected="0">
            <x v="3"/>
          </reference>
        </references>
      </pivotArea>
    </format>
    <format dxfId="1948">
      <pivotArea dataOnly="0" labelOnly="1" outline="0" fieldPosition="0">
        <references count="5">
          <reference field="0" count="1" selected="0">
            <x v="2"/>
          </reference>
          <reference field="1" count="1" selected="0">
            <x v="2"/>
          </reference>
          <reference field="3" count="1">
            <x v="4"/>
          </reference>
          <reference field="9" count="1" selected="0">
            <x v="47"/>
          </reference>
          <reference field="10" count="1" selected="0">
            <x v="7"/>
          </reference>
        </references>
      </pivotArea>
    </format>
    <format dxfId="1949">
      <pivotArea dataOnly="0" labelOnly="1" outline="0" fieldPosition="0">
        <references count="5">
          <reference field="0" count="1" selected="0">
            <x v="13"/>
          </reference>
          <reference field="1" count="1" selected="0">
            <x v="2"/>
          </reference>
          <reference field="3" count="1">
            <x v="10"/>
          </reference>
          <reference field="9" count="1" selected="0">
            <x v="51"/>
          </reference>
          <reference field="10" count="1" selected="0">
            <x v="7"/>
          </reference>
        </references>
      </pivotArea>
    </format>
    <format dxfId="1950">
      <pivotArea field="1" type="button" dataOnly="0" labelOnly="1" outline="0" axis="axisRow" fieldPosition="1"/>
    </format>
    <format dxfId="195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9" count="1" selected="0">
            <x v="47"/>
          </reference>
          <reference field="10" count="1">
            <x v="7"/>
          </reference>
        </references>
      </pivotArea>
    </format>
    <format dxfId="1953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2"/>
          </reference>
          <reference field="9" count="1" selected="0">
            <x v="58"/>
          </reference>
          <reference field="10" count="1">
            <x v="7"/>
          </reference>
        </references>
      </pivotArea>
    </format>
    <format dxfId="1955">
      <pivotArea dataOnly="0" labelOnly="1" outline="0" fieldPosition="0">
        <references count="1">
          <reference field="1" count="0"/>
        </references>
      </pivotArea>
    </format>
    <format dxfId="1956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9" count="1">
            <x v="58"/>
          </reference>
        </references>
      </pivotArea>
    </format>
    <format dxfId="1957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2"/>
          </reference>
          <reference field="3" count="0"/>
          <reference field="9" count="1" selected="0">
            <x v="58"/>
          </reference>
          <reference field="10" count="1" selected="0">
            <x v="7"/>
          </reference>
        </references>
      </pivotArea>
    </format>
    <format dxfId="1958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2"/>
          </reference>
          <reference field="3" count="0"/>
          <reference field="9" count="1" selected="0">
            <x v="58"/>
          </reference>
          <reference field="10" count="1" selected="0">
            <x v="7"/>
          </reference>
        </references>
      </pivotArea>
    </format>
    <format dxfId="1959">
      <pivotArea outline="0" fieldPosition="0">
        <references count="5">
          <reference field="0" count="1" selected="0">
            <x v="10"/>
          </reference>
          <reference field="1" count="1" selected="0">
            <x v="2"/>
          </reference>
          <reference field="3" count="0" selected="0"/>
          <reference field="9" count="1" selected="0">
            <x v="58"/>
          </reference>
          <reference field="10" count="1" selected="0">
            <x v="7"/>
          </reference>
        </references>
      </pivotArea>
    </format>
    <format dxfId="1960">
      <pivotArea dataOnly="0" labelOnly="1" outline="0" fieldPosition="0">
        <references count="1">
          <reference field="0" count="1">
            <x v="10"/>
          </reference>
        </references>
      </pivotArea>
    </format>
    <format dxfId="1961">
      <pivotArea dataOnly="0" labelOnly="1" outline="0" fieldPosition="0">
        <references count="2">
          <reference field="0" count="1" selected="0">
            <x v="10"/>
          </reference>
          <reference field="1" count="1">
            <x v="2"/>
          </reference>
        </references>
      </pivotArea>
    </format>
    <format dxfId="1962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2"/>
          </reference>
          <reference field="9" count="1">
            <x v="58"/>
          </reference>
        </references>
      </pivotArea>
    </format>
    <format dxfId="1963">
      <pivotArea outline="0" fieldPosition="0">
        <references count="5">
          <reference field="0" count="1" selected="0">
            <x v="10"/>
          </reference>
          <reference field="1" count="1" selected="0">
            <x v="2"/>
          </reference>
          <reference field="3" count="0" selected="0"/>
          <reference field="9" count="1" selected="0">
            <x v="58"/>
          </reference>
          <reference field="10" count="1" selected="0">
            <x v="7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2"/>
          </reference>
          <reference field="9" count="1" selected="0">
            <x v="58"/>
          </reference>
          <reference field="10" count="1">
            <x v="7"/>
          </reference>
        </references>
      </pivotArea>
    </format>
    <format dxfId="1965">
      <pivotArea dataOnly="0" labelOnly="1" outline="0" fieldPosition="0">
        <references count="5">
          <reference field="0" count="1" selected="0">
            <x v="10"/>
          </reference>
          <reference field="1" count="1" selected="0">
            <x v="2"/>
          </reference>
          <reference field="3" count="0"/>
          <reference field="9" count="1" selected="0">
            <x v="58"/>
          </reference>
          <reference field="10" count="1" selected="0">
            <x v="7"/>
          </reference>
        </references>
      </pivotArea>
    </format>
    <format dxfId="1966">
      <pivotArea grandRow="1" outline="0" collapsedLevelsAreSubtotals="1" fieldPosition="0"/>
    </format>
    <format dxfId="1967">
      <pivotArea dataOnly="0" labelOnly="1" outline="0" fieldPosition="0">
        <references count="1">
          <reference field="0" count="1">
            <x v="10"/>
          </reference>
        </references>
      </pivotArea>
    </format>
    <format dxfId="196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6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7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1972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1973">
      <pivotArea dataOnly="0" labelOnly="1" outline="0" fieldPosition="0">
        <references count="1">
          <reference field="0" count="1">
            <x v="7"/>
          </reference>
        </references>
      </pivotArea>
    </format>
    <format dxfId="1974">
      <pivotArea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 selected="0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75">
      <pivotArea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 selected="0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76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197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7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81">
      <pivotArea outline="0" collapsedLevelsAreSubtotals="1" fieldPosition="0"/>
    </format>
    <format dxfId="1982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83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1">
            <x v="4"/>
          </reference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84">
      <pivotArea dataOnly="0" labelOnly="1" outline="0" fieldPosition="0">
        <references count="1">
          <reference field="0" count="1">
            <x v="7"/>
          </reference>
        </references>
      </pivotArea>
    </format>
    <format dxfId="1985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198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88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0"/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1989">
      <pivotArea outline="0" fieldPosition="0">
        <references count="5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</references>
      </pivotArea>
    </format>
    <format dxfId="1990">
      <pivotArea dataOnly="0" labelOnly="1" outline="0" fieldPosition="0">
        <references count="1">
          <reference field="0" count="1">
            <x v="12"/>
          </reference>
        </references>
      </pivotArea>
    </format>
    <format dxfId="1991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9" count="1">
            <x v="62"/>
          </reference>
        </references>
      </pivotArea>
    </format>
    <format dxfId="199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94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2"/>
          </reference>
          <reference field="3" count="0"/>
          <reference field="9" count="1" selected="0">
            <x v="62"/>
          </reference>
          <reference field="10" count="1" selected="0">
            <x v="3"/>
          </reference>
        </references>
      </pivotArea>
    </format>
    <format dxfId="1995">
      <pivotArea dataOnly="0" labelOnly="1" outline="0" fieldPosition="0">
        <references count="5">
          <reference field="0" count="1" selected="0">
            <x v="12"/>
          </reference>
          <reference field="1" count="1" selected="0">
            <x v="2"/>
          </reference>
          <reference field="3" count="0"/>
          <reference field="9" count="1" selected="0">
            <x v="62"/>
          </reference>
          <reference field="10" count="1" selected="0">
            <x v="3"/>
          </reference>
        </references>
      </pivotArea>
    </format>
    <format dxfId="1996">
      <pivotArea outline="0" fieldPosition="0">
        <references count="5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</references>
      </pivotArea>
    </format>
    <format dxfId="199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9" count="1">
            <x v="62"/>
          </reference>
        </references>
      </pivotArea>
    </format>
    <format dxfId="1999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00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0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02">
      <pivotArea outline="0" fieldPosition="0">
        <references count="5">
          <reference field="0" count="2" selected="0">
            <x v="7"/>
            <x v="12"/>
          </reference>
          <reference field="1" count="2" selected="0">
            <x v="2"/>
            <x v="3"/>
          </reference>
          <reference field="3" count="0" selected="0"/>
          <reference field="9" count="2" selected="0">
            <x v="59"/>
            <x v="62"/>
          </reference>
          <reference field="10" count="1" selected="0">
            <x v="3"/>
          </reference>
        </references>
      </pivotArea>
    </format>
    <format dxfId="2003">
      <pivotArea field="0" type="button" dataOnly="0" labelOnly="1" outline="0" axis="axisRow" fieldPosition="0"/>
    </format>
    <format dxfId="2004">
      <pivotArea field="1" type="button" dataOnly="0" labelOnly="1" outline="0" axis="axisRow" fieldPosition="1"/>
    </format>
    <format dxfId="2005">
      <pivotArea field="9" type="button" dataOnly="0" labelOnly="1" outline="0" axis="axisRow" fieldPosition="2"/>
    </format>
    <format dxfId="2006">
      <pivotArea field="10" type="button" dataOnly="0" labelOnly="1" outline="0" axis="axisRow" fieldPosition="3"/>
    </format>
    <format dxfId="2007">
      <pivotArea field="3" type="button" dataOnly="0" labelOnly="1" outline="0" axis="axisRow" fieldPosition="4"/>
    </format>
    <format dxfId="2008">
      <pivotArea dataOnly="0" labelOnly="1" outline="0" axis="axisValues" fieldPosition="0"/>
    </format>
    <format dxfId="2009">
      <pivotArea dataOnly="0" labelOnly="1" outline="0" axis="axisValues" fieldPosition="0"/>
    </format>
    <format dxfId="2010">
      <pivotArea field="0" type="button" dataOnly="0" labelOnly="1" outline="0" axis="axisRow" fieldPosition="0"/>
    </format>
    <format dxfId="2011">
      <pivotArea field="1" type="button" dataOnly="0" labelOnly="1" outline="0" axis="axisRow" fieldPosition="1"/>
    </format>
    <format dxfId="2012">
      <pivotArea field="9" type="button" dataOnly="0" labelOnly="1" outline="0" axis="axisRow" fieldPosition="2"/>
    </format>
    <format dxfId="2013">
      <pivotArea field="10" type="button" dataOnly="0" labelOnly="1" outline="0" axis="axisRow" fieldPosition="3"/>
    </format>
    <format dxfId="2014">
      <pivotArea field="3" type="button" dataOnly="0" labelOnly="1" outline="0" axis="axisRow" fieldPosition="4"/>
    </format>
    <format dxfId="2015">
      <pivotArea dataOnly="0" labelOnly="1" outline="0" axis="axisValues" fieldPosition="0"/>
    </format>
    <format dxfId="2016">
      <pivotArea dataOnly="0" labelOnly="1" outline="0" axis="axisValues" fieldPosition="0"/>
    </format>
    <format dxfId="2017">
      <pivotArea field="0" type="button" dataOnly="0" labelOnly="1" outline="0" axis="axisRow" fieldPosition="0"/>
    </format>
    <format dxfId="2018">
      <pivotArea field="1" type="button" dataOnly="0" labelOnly="1" outline="0" axis="axisRow" fieldPosition="1"/>
    </format>
    <format dxfId="2019">
      <pivotArea field="9" type="button" dataOnly="0" labelOnly="1" outline="0" axis="axisRow" fieldPosition="2"/>
    </format>
    <format dxfId="2020">
      <pivotArea field="10" type="button" dataOnly="0" labelOnly="1" outline="0" axis="axisRow" fieldPosition="3"/>
    </format>
    <format dxfId="2021">
      <pivotArea field="3" type="button" dataOnly="0" labelOnly="1" outline="0" axis="axisRow" fieldPosition="4"/>
    </format>
    <format dxfId="2022">
      <pivotArea dataOnly="0" labelOnly="1" outline="0" axis="axisValues" fieldPosition="0"/>
    </format>
    <format dxfId="2023">
      <pivotArea dataOnly="0" labelOnly="1" outline="0" axis="axisValues" fieldPosition="0"/>
    </format>
    <format dxfId="2024">
      <pivotArea field="0" type="button" dataOnly="0" labelOnly="1" outline="0" axis="axisRow" fieldPosition="0"/>
    </format>
    <format dxfId="2025">
      <pivotArea field="1" type="button" dataOnly="0" labelOnly="1" outline="0" axis="axisRow" fieldPosition="1"/>
    </format>
    <format dxfId="2026">
      <pivotArea field="9" type="button" dataOnly="0" labelOnly="1" outline="0" axis="axisRow" fieldPosition="2"/>
    </format>
    <format dxfId="2027">
      <pivotArea field="10" type="button" dataOnly="0" labelOnly="1" outline="0" axis="axisRow" fieldPosition="3"/>
    </format>
    <format dxfId="2028">
      <pivotArea field="3" type="button" dataOnly="0" labelOnly="1" outline="0" axis="axisRow" fieldPosition="4"/>
    </format>
    <format dxfId="2029">
      <pivotArea dataOnly="0" labelOnly="1" outline="0" axis="axisValues" fieldPosition="0"/>
    </format>
    <format dxfId="2030">
      <pivotArea dataOnly="0" labelOnly="1" outline="0" axis="axisValues" fieldPosition="0"/>
    </format>
    <format dxfId="2031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9" count="1" selected="0">
            <x v="59"/>
          </reference>
          <reference field="10" count="1" selected="0">
            <x v="3"/>
          </reference>
          <reference field="11" count="1">
            <x v="1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  <reference field="11" count="1">
            <x v="0"/>
          </reference>
        </references>
      </pivotArea>
    </format>
    <format dxfId="203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34">
      <pivotArea field="3" type="button" dataOnly="0" labelOnly="1" outline="0" axis="axisRow" fieldPosition="4"/>
    </format>
    <format dxfId="2035">
      <pivotArea dataOnly="0" labelOnly="1" outline="0" fieldPosition="0">
        <references count="1">
          <reference field="0" count="2">
            <x v="7"/>
            <x v="12"/>
          </reference>
        </references>
      </pivotArea>
    </format>
    <format dxfId="2036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037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03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2039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9" count="1">
            <x v="62"/>
          </reference>
        </references>
      </pivotArea>
    </format>
    <format dxfId="204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41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0"/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9" count="1" selected="0">
            <x v="59"/>
          </reference>
          <reference field="10" count="1" selected="0">
            <x v="3"/>
          </reference>
          <reference field="11" count="1">
            <x v="1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  <reference field="11" count="1">
            <x v="0"/>
          </reference>
        </references>
      </pivotArea>
    </format>
    <format dxfId="2044">
      <pivotArea dataOnly="0" labelOnly="1" outline="0" fieldPosition="0">
        <references count="1">
          <reference field="0" count="2">
            <x v="7"/>
            <x v="12"/>
          </reference>
        </references>
      </pivotArea>
    </format>
    <format dxfId="2045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046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04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2048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9" count="1">
            <x v="62"/>
          </reference>
        </references>
      </pivotArea>
    </format>
    <format dxfId="204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50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0"/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9" count="1" selected="0">
            <x v="59"/>
          </reference>
          <reference field="10" count="1" selected="0">
            <x v="3"/>
          </reference>
          <reference field="11" count="1">
            <x v="1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  <reference field="11" count="1">
            <x v="0"/>
          </reference>
        </references>
      </pivotArea>
    </format>
    <format dxfId="2053">
      <pivotArea dataOnly="0" labelOnly="1" outline="0" fieldPosition="0">
        <references count="1">
          <reference field="0" count="2">
            <x v="7"/>
            <x v="12"/>
          </reference>
        </references>
      </pivotArea>
    </format>
    <format dxfId="2054">
      <pivotArea dataOnly="0" labelOnly="1" outline="0" fieldPosition="0">
        <references count="2">
          <reference field="0" count="1" selected="0">
            <x v="7"/>
          </reference>
          <reference field="1" count="1">
            <x v="3"/>
          </reference>
        </references>
      </pivotArea>
    </format>
    <format dxfId="2055">
      <pivotArea dataOnly="0" labelOnly="1" outline="0" fieldPosition="0">
        <references count="2">
          <reference field="0" count="1" selected="0">
            <x v="12"/>
          </reference>
          <reference field="1" count="1">
            <x v="2"/>
          </reference>
        </references>
      </pivotArea>
    </format>
    <format dxfId="205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9" count="1">
            <x v="59"/>
          </reference>
        </references>
      </pivotArea>
    </format>
    <format dxfId="2057">
      <pivotArea dataOnly="0" labelOnly="1" outline="0" fieldPosition="0">
        <references count="3">
          <reference field="0" count="1" selected="0">
            <x v="12"/>
          </reference>
          <reference field="1" count="1" selected="0">
            <x v="2"/>
          </reference>
          <reference field="9" count="1">
            <x v="62"/>
          </reference>
        </references>
      </pivotArea>
    </format>
    <format dxfId="205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59">
      <pivotArea dataOnly="0" labelOnly="1" outline="0" fieldPosition="0">
        <references count="5">
          <reference field="0" count="1" selected="0">
            <x v="7"/>
          </reference>
          <reference field="1" count="1" selected="0">
            <x v="3"/>
          </reference>
          <reference field="3" count="0"/>
          <reference field="9" count="1" selected="0">
            <x v="59"/>
          </reference>
          <reference field="10" count="1" selected="0">
            <x v="3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7"/>
          </reference>
          <reference field="1" count="1" selected="0">
            <x v="3"/>
          </reference>
          <reference field="3" count="0" selected="0"/>
          <reference field="9" count="1" selected="0">
            <x v="59"/>
          </reference>
          <reference field="10" count="1" selected="0">
            <x v="3"/>
          </reference>
          <reference field="11" count="1">
            <x v="1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12"/>
          </reference>
          <reference field="1" count="1" selected="0">
            <x v="2"/>
          </reference>
          <reference field="3" count="0" selected="0"/>
          <reference field="9" count="1" selected="0">
            <x v="62"/>
          </reference>
          <reference field="10" count="1" selected="0">
            <x v="3"/>
          </reference>
          <reference field="11" count="1">
            <x v="0"/>
          </reference>
        </references>
      </pivotArea>
    </format>
    <format dxfId="2062">
      <pivotArea field="11" type="button" dataOnly="0" labelOnly="1" outline="0" axis="axisRow" fieldPosition="5"/>
    </format>
    <format dxfId="2063">
      <pivotArea field="11" type="button" dataOnly="0" labelOnly="1" outline="0" axis="axisRow" fieldPosition="5"/>
    </format>
    <format dxfId="206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  <format dxfId="206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9" count="1" selected="0">
            <x v="59"/>
          </reference>
          <reference field="1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Сводная таблица1" cacheId="111" applyNumberFormats="0" applyBorderFormats="0" applyFontFormats="0" applyPatternFormats="0" applyAlignmentFormats="0" applyWidthHeightFormats="1" dataCaption="Значения" updatedVersion="6" minRefreshableVersion="3" showDrill="0" rowGrandTotals="0" colGrandTotals="0" itemPrintTitles="1" createdVersion="6" indent="0" compact="0" compactData="0" multipleFieldFilters="0">
  <location ref="A8:E34" firstHeaderRow="1" firstDataRow="1" firstDataCol="4"/>
  <pivotFields count="20">
    <pivotField axis="axisRow" compact="0" outline="0" showAll="0" defaultSubtotal="0">
      <items count="26">
        <item x="9"/>
        <item x="14"/>
        <item x="13"/>
        <item x="8"/>
        <item x="11"/>
        <item x="10"/>
        <item x="15"/>
        <item x="1"/>
        <item x="16"/>
        <item x="12"/>
        <item x="4"/>
        <item x="6"/>
        <item x="2"/>
        <item x="0"/>
        <item x="18"/>
        <item x="17"/>
        <item x="3"/>
        <item m="1" x="25"/>
        <item x="5"/>
        <item x="19"/>
        <item x="20"/>
        <item x="7"/>
        <item m="1" x="24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5"/>
        <item m="1" x="18"/>
        <item x="8"/>
        <item x="13"/>
        <item x="12"/>
        <item x="0"/>
        <item x="2"/>
        <item m="1" x="17"/>
        <item x="10"/>
        <item x="9"/>
        <item x="11"/>
        <item x="1"/>
        <item x="6"/>
        <item x="7"/>
        <item x="3"/>
        <item x="15"/>
        <item m="1" x="19"/>
        <item x="14"/>
        <item m="1" x="1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DropDowns="0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Вес по  B\L   мт" dataField="1" compact="0" outline="0" showAll="0" defaultSubtotal="0">
      <items count="146">
        <item x="0"/>
        <item x="6"/>
        <item x="25"/>
        <item x="35"/>
        <item x="12"/>
        <item x="37"/>
        <item x="3"/>
        <item x="16"/>
        <item x="38"/>
        <item x="34"/>
        <item x="9"/>
        <item x="43"/>
        <item x="30"/>
        <item x="42"/>
        <item x="14"/>
        <item x="2"/>
        <item x="39"/>
        <item x="24"/>
        <item x="11"/>
        <item x="50"/>
        <item x="21"/>
        <item x="26"/>
        <item x="13"/>
        <item x="52"/>
        <item x="45"/>
        <item x="7"/>
        <item x="8"/>
        <item x="27"/>
        <item x="28"/>
        <item x="48"/>
        <item x="57"/>
        <item x="19"/>
        <item x="22"/>
        <item x="47"/>
        <item x="53"/>
        <item x="17"/>
        <item x="51"/>
        <item x="40"/>
        <item x="31"/>
        <item x="56"/>
        <item x="33"/>
        <item x="4"/>
        <item x="55"/>
        <item x="60"/>
        <item x="23"/>
        <item x="41"/>
        <item x="1"/>
        <item x="49"/>
        <item x="15"/>
        <item x="32"/>
        <item x="20"/>
        <item x="59"/>
        <item x="58"/>
        <item x="61"/>
        <item x="54"/>
        <item x="36"/>
        <item x="10"/>
        <item x="5"/>
        <item x="29"/>
        <item x="18"/>
        <item x="44"/>
        <item x="46"/>
        <item x="68"/>
        <item x="73"/>
        <item x="64"/>
        <item x="62"/>
        <item x="65"/>
        <item m="1" x="139"/>
        <item m="1" x="137"/>
        <item m="1" x="128"/>
        <item m="1" x="134"/>
        <item m="1" x="116"/>
        <item m="1" x="133"/>
        <item x="67"/>
        <item x="63"/>
        <item x="66"/>
        <item m="1" x="138"/>
        <item m="1" x="142"/>
        <item m="1" x="143"/>
        <item x="71"/>
        <item m="1" x="115"/>
        <item m="1" x="144"/>
        <item m="1" x="141"/>
        <item x="69"/>
        <item m="1" x="130"/>
        <item m="1" x="114"/>
        <item x="70"/>
        <item m="1" x="122"/>
        <item x="72"/>
        <item m="1" x="145"/>
        <item m="1" x="135"/>
        <item x="76"/>
        <item x="74"/>
        <item x="75"/>
        <item m="1" x="123"/>
        <item x="77"/>
        <item x="78"/>
        <item x="81"/>
        <item m="1" x="121"/>
        <item x="80"/>
        <item x="79"/>
        <item x="82"/>
        <item x="83"/>
        <item m="1" x="124"/>
        <item m="1" x="120"/>
        <item m="1" x="127"/>
        <item x="84"/>
        <item x="85"/>
        <item x="86"/>
        <item x="87"/>
        <item x="90"/>
        <item x="88"/>
        <item m="1" x="140"/>
        <item x="89"/>
        <item m="1" x="126"/>
        <item x="92"/>
        <item m="1" x="119"/>
        <item m="1" x="118"/>
        <item x="93"/>
        <item x="97"/>
        <item x="95"/>
        <item x="96"/>
        <item m="1" x="129"/>
        <item x="99"/>
        <item m="1" x="132"/>
        <item x="94"/>
        <item m="1" x="131"/>
        <item m="1" x="113"/>
        <item x="98"/>
        <item x="103"/>
        <item m="1" x="136"/>
        <item x="105"/>
        <item x="104"/>
        <item x="91"/>
        <item x="108"/>
        <item x="109"/>
        <item x="110"/>
        <item m="1" x="117"/>
        <item m="1" x="125"/>
        <item x="111"/>
        <item x="100"/>
        <item x="101"/>
        <item x="102"/>
        <item x="106"/>
        <item x="112"/>
        <item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2">
        <item m="1" x="90"/>
        <item x="7"/>
        <item x="0"/>
        <item x="5"/>
        <item x="1"/>
        <item x="4"/>
        <item x="6"/>
        <item x="2"/>
        <item x="3"/>
        <item x="8"/>
        <item x="12"/>
        <item x="9"/>
        <item x="11"/>
        <item x="13"/>
        <item x="10"/>
        <item x="15"/>
        <item x="14"/>
        <item x="16"/>
        <item x="20"/>
        <item x="18"/>
        <item x="17"/>
        <item x="19"/>
        <item x="21"/>
        <item x="22"/>
        <item x="23"/>
        <item x="24"/>
        <item x="25"/>
        <item x="26"/>
        <item x="27"/>
        <item x="28"/>
        <item x="29"/>
        <item x="30"/>
        <item x="32"/>
        <item x="31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8"/>
        <item x="46"/>
        <item x="47"/>
        <item x="49"/>
        <item x="54"/>
        <item x="50"/>
        <item x="53"/>
        <item x="51"/>
        <item m="1" x="91"/>
        <item x="52"/>
        <item x="55"/>
        <item x="56"/>
        <item x="57"/>
        <item x="59"/>
        <item x="60"/>
        <item x="61"/>
        <item x="62"/>
        <item x="63"/>
        <item x="65"/>
        <item x="64"/>
        <item x="66"/>
        <item x="67"/>
        <item x="69"/>
        <item x="68"/>
        <item x="70"/>
        <item x="71"/>
        <item x="73"/>
        <item x="72"/>
        <item x="74"/>
        <item x="76"/>
        <item x="79"/>
        <item x="77"/>
        <item x="75"/>
        <item x="78"/>
        <item x="83"/>
        <item x="85"/>
        <item x="84"/>
        <item x="88"/>
        <item x="87"/>
        <item x="89"/>
        <item x="58"/>
        <item x="81"/>
        <item x="80"/>
        <item x="82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">
        <item x="4"/>
        <item x="3"/>
        <item x="1"/>
        <item x="6"/>
        <item x="0"/>
        <item x="2"/>
        <item x="5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" outline="0" showAll="0" defaultSubtotal="0">
      <items count="4">
        <item m="1"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x="3"/>
        <item h="1" x="4"/>
        <item x="5"/>
        <item h="1" x="0"/>
        <item h="1" x="1"/>
        <item h="1" x="2"/>
        <item h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Производственная неделя " showDropDowns="0" compact="0" numFmtId="1" outline="0" showAll="0" sortType="ascending" defaultSubtotal="0">
      <items count="26">
        <item x="11"/>
        <item x="12"/>
        <item x="13"/>
        <item m="1" x="25"/>
        <item x="14"/>
        <item x="15"/>
        <item x="16"/>
        <item x="17"/>
        <item x="18"/>
        <item x="19"/>
        <item x="20"/>
        <item x="21"/>
        <item x="23"/>
        <item x="22"/>
        <item x="24"/>
        <item x="0"/>
        <item x="1"/>
        <item x="2"/>
        <item x="3"/>
        <item x="4"/>
        <item x="5"/>
        <item x="6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descending" defaultSubtotal="0">
      <items count="90">
        <item x="86"/>
        <item x="82"/>
        <item x="80"/>
        <item x="81"/>
        <item x="89"/>
        <item x="87"/>
        <item x="88"/>
        <item x="84"/>
        <item x="85"/>
        <item x="83"/>
        <item x="78"/>
        <item x="75"/>
        <item x="77"/>
        <item x="79"/>
        <item x="76"/>
        <item x="74"/>
        <item x="72"/>
        <item x="73"/>
        <item x="71"/>
        <item x="70"/>
        <item x="68"/>
        <item x="69"/>
        <item x="67"/>
        <item x="66"/>
        <item x="64"/>
        <item x="65"/>
        <item x="63"/>
        <item x="62"/>
        <item x="61"/>
        <item x="60"/>
        <item x="59"/>
        <item x="57"/>
        <item x="56"/>
        <item x="55"/>
        <item x="52"/>
        <item x="51"/>
        <item x="53"/>
        <item x="50"/>
        <item x="54"/>
        <item x="49"/>
        <item x="47"/>
        <item x="46"/>
        <item x="48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1"/>
        <item x="32"/>
        <item x="30"/>
        <item x="29"/>
        <item x="28"/>
        <item x="27"/>
        <item x="26"/>
        <item x="25"/>
        <item x="24"/>
        <item x="23"/>
        <item x="22"/>
        <item x="21"/>
        <item x="19"/>
        <item x="17"/>
        <item x="18"/>
        <item x="20"/>
        <item x="16"/>
        <item x="14"/>
        <item x="15"/>
        <item x="10"/>
        <item x="13"/>
        <item x="11"/>
        <item x="9"/>
        <item x="12"/>
        <item x="8"/>
        <item x="3"/>
        <item x="2"/>
        <item x="6"/>
        <item x="4"/>
        <item x="1"/>
        <item x="5"/>
        <item x="0"/>
        <item x="7"/>
        <item x="5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"/>
    <field x="0"/>
    <field x="9"/>
    <field x="17"/>
  </rowFields>
  <rowItems count="26">
    <i>
      <x v="2"/>
      <x v="6"/>
      <x v="71"/>
      <x v="2"/>
    </i>
    <i r="1">
      <x v="18"/>
      <x v="77"/>
      <x v="2"/>
    </i>
    <i r="1">
      <x v="19"/>
      <x v="75"/>
      <x v="2"/>
    </i>
    <i r="1">
      <x v="21"/>
      <x v="66"/>
      <x v="2"/>
    </i>
    <i r="1">
      <x v="23"/>
      <x v="82"/>
      <x v="2"/>
    </i>
    <i r="1">
      <x v="24"/>
      <x v="84"/>
      <x v="2"/>
    </i>
    <i>
      <x v="4"/>
      <x v="3"/>
      <x v="71"/>
      <x v="2"/>
    </i>
    <i r="1">
      <x v="5"/>
      <x v="74"/>
      <x v="2"/>
    </i>
    <i r="1">
      <x v="6"/>
      <x v="66"/>
      <x v="2"/>
    </i>
    <i r="2">
      <x v="75"/>
      <x v="2"/>
    </i>
    <i r="2">
      <x v="83"/>
      <x v="2"/>
    </i>
    <i r="1">
      <x v="7"/>
      <x v="67"/>
      <x v="2"/>
    </i>
    <i r="2">
      <x v="73"/>
      <x v="2"/>
    </i>
    <i r="1">
      <x v="8"/>
      <x v="68"/>
      <x v="2"/>
    </i>
    <i r="1">
      <x v="9"/>
      <x v="69"/>
      <x v="2"/>
    </i>
    <i r="1">
      <x v="14"/>
      <x v="69"/>
      <x v="2"/>
    </i>
    <i r="1">
      <x v="15"/>
      <x v="70"/>
      <x v="2"/>
    </i>
    <i r="2">
      <x v="76"/>
      <x v="2"/>
    </i>
    <i r="2">
      <x v="85"/>
      <x v="2"/>
    </i>
    <i r="1">
      <x v="18"/>
      <x v="72"/>
      <x v="2"/>
    </i>
    <i r="1">
      <x v="20"/>
      <x v="79"/>
      <x v="2"/>
    </i>
    <i r="1">
      <x v="21"/>
      <x v="72"/>
      <x v="2"/>
    </i>
    <i r="2">
      <x v="81"/>
      <x v="2"/>
    </i>
    <i r="1">
      <x v="24"/>
      <x v="86"/>
      <x v="2"/>
    </i>
    <i>
      <x v="11"/>
      <x v="9"/>
      <x v="78"/>
      <x v="2"/>
    </i>
    <i>
      <x v="19"/>
      <x v="3"/>
      <x v="80"/>
      <x v="2"/>
    </i>
  </rowItems>
  <colItems count="1">
    <i/>
  </colItems>
  <dataFields count="1">
    <dataField name="Сумма по полю Вес по  B\L   мт" fld="5" baseField="11" baseItem="0" numFmtId="164"/>
  </dataFields>
  <formats count="21">
    <format dxfId="2580">
      <pivotArea field="5" type="button" dataOnly="0" labelOnly="1" outline="0"/>
    </format>
    <format dxfId="2579">
      <pivotArea field="0" type="button" dataOnly="0" labelOnly="1" outline="0" axis="axisRow" fieldPosition="1"/>
    </format>
    <format dxfId="2578">
      <pivotArea field="1" type="button" dataOnly="0" labelOnly="1" outline="0" axis="axisRow" fieldPosition="0"/>
    </format>
    <format dxfId="2577">
      <pivotArea field="5" type="button" dataOnly="0" labelOnly="1" outline="0"/>
    </format>
    <format dxfId="2576">
      <pivotArea field="9" type="button" dataOnly="0" labelOnly="1" outline="0" axis="axisRow" fieldPosition="2"/>
    </format>
    <format dxfId="2575">
      <pivotArea field="11" type="button" dataOnly="0" labelOnly="1" outline="0"/>
    </format>
    <format dxfId="2574">
      <pivotArea field="0" type="button" dataOnly="0" labelOnly="1" outline="0" axis="axisRow" fieldPosition="1"/>
    </format>
    <format dxfId="2573">
      <pivotArea field="1" type="button" dataOnly="0" labelOnly="1" outline="0" axis="axisRow" fieldPosition="0"/>
    </format>
    <format dxfId="2572">
      <pivotArea field="5" type="button" dataOnly="0" labelOnly="1" outline="0"/>
    </format>
    <format dxfId="2571">
      <pivotArea field="9" type="button" dataOnly="0" labelOnly="1" outline="0" axis="axisRow" fieldPosition="2"/>
    </format>
    <format dxfId="2570">
      <pivotArea field="11" type="button" dataOnly="0" labelOnly="1" outline="0"/>
    </format>
    <format dxfId="2569">
      <pivotArea field="10" type="button" dataOnly="0" labelOnly="1" outline="0"/>
    </format>
    <format dxfId="2568">
      <pivotArea field="9" type="button" dataOnly="0" labelOnly="1" outline="0" axis="axisRow" fieldPosition="2"/>
    </format>
    <format dxfId="2567">
      <pivotArea field="9" type="button" dataOnly="0" labelOnly="1" outline="0" axis="axisRow" fieldPosition="2"/>
    </format>
    <format dxfId="2566">
      <pivotArea field="9" type="button" dataOnly="0" labelOnly="1" outline="0" axis="axisRow" fieldPosition="2"/>
    </format>
    <format dxfId="2565">
      <pivotArea field="9" type="button" dataOnly="0" labelOnly="1" outline="0" axis="axisRow" fieldPosition="2"/>
    </format>
    <format dxfId="2564">
      <pivotArea field="9" type="button" dataOnly="0" labelOnly="1" outline="0" axis="axisRow" fieldPosition="2"/>
    </format>
    <format dxfId="2563">
      <pivotArea field="18" type="button" dataOnly="0" labelOnly="1" outline="0"/>
    </format>
    <format dxfId="2562">
      <pivotArea outline="0" fieldPosition="0">
        <references count="1">
          <reference field="4294967294" count="1">
            <x v="0"/>
          </reference>
        </references>
      </pivotArea>
    </format>
    <format dxfId="2561">
      <pivotArea field="9" type="button" dataOnly="0" labelOnly="1" outline="0" axis="axisRow" fieldPosition="2"/>
    </format>
    <format dxfId="2560">
      <pivotArea field="19" type="button" dataOnly="0" labelOnly="1" outline="0"/>
    </format>
  </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Год" sourceName="Год">
  <pivotTables>
    <pivotTable tabId="7" name="Сводная таблица1"/>
  </pivotTables>
  <data>
    <tabular pivotCacheId="1">
      <items count="4">
        <i x="1" s="1"/>
        <i x="3" s="1" nd="1"/>
        <i x="0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сяц" sourceName="Месяц">
  <pivotTables>
    <pivotTable tabId="7" name="Сводная таблица1"/>
  </pivotTables>
  <data>
    <tabular pivotCacheId="1">
      <items count="7">
        <i x="3"/>
        <i x="4"/>
        <i x="5"/>
        <i x="6" s="1"/>
        <i x="0"/>
        <i x="1"/>
        <i x="2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Неделя" sourceName="Неделя">
  <pivotTables>
    <pivotTable tabId="7" name="Сводная таблица1"/>
  </pivotTables>
  <data>
    <tabular pivotCacheId="1">
      <items count="26">
        <i x="22" s="1"/>
        <i x="24" s="1"/>
        <i x="11" s="1" nd="1"/>
        <i x="12" s="1" nd="1"/>
        <i x="13" s="1" nd="1"/>
        <i x="25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  <i x="23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орское_Судно1" sourceName="[ТаблПогрузкаМоряк].[Морское Судно]">
  <pivotTables>
    <pivotTable tabId="10" name="Сводная таблица1"/>
  </pivotTables>
  <data>
    <olap pivotCacheId="193">
      <levels count="2">
        <level uniqueName="[ТаблПогрузкаМоряк].[Морское Судно].[(All)]" sourceCaption="(All)" count="0"/>
        <level uniqueName="[ТаблПогрузкаМоряк].[Морское Судно].[Морское Судно]" sourceCaption="Морское Судно" count="5">
          <ranges>
            <range startItem="0">
              <i n="[ТаблПогрузкаМоряк].[Морское Судно].&amp;[m/v April 9 ИМО 8319392]" c="m/v April 9 ИМО 8319392"/>
              <i n="[ТаблПогрузкаМоряк].[Морское Судно].&amp;[m/v Evrika ИМО 9154567]" c="m/v Evrika ИМО 9154567"/>
              <i n="[ТаблПогрузкаМоряк].[Морское Судно].&amp;[m/v Loris ИМО 8902436]" c="m/v Loris ИМО 8902436"/>
              <i n="[ТаблПогрузкаМоряк].[Морское Судно].&amp;[m/v Nour Star ИМО 9296315]" c="m/v Nour Star ИМО 9296315"/>
              <i n="[ТаблПогрузкаМоряк].[Морское Судно].&amp;[m/v Zaltron ИМО 9114139]" c="m/v Zaltron ИМО 9114139"/>
            </range>
          </ranges>
        </level>
      </levels>
      <selections count="1">
        <selection n="[ТаблПогрузкаМоряк].[Морское Судно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_Морского_Судна1" sourceName="[ТаблПогрузкаМоряк].[Дата  составления  B\L Морского Судна]">
  <pivotTables>
    <pivotTable tabId="10" name="Сводная таблица1"/>
  </pivotTables>
  <data>
    <olap pivotCacheId="193">
      <levels count="2">
        <level uniqueName="[ТаблПогрузкаМоряк].[Дата  составления  B\L Морского Судна].[(All)]" sourceCaption="(All)" count="0"/>
        <level uniqueName="[ТаблПогрузкаМоряк].[Дата  составления  B\L Морского Судна].[Дата  составления  B\L Морского Судна]" sourceCaption="Дата  составления  B\L Морского Судна" count="5">
          <ranges>
            <range startItem="0">
              <i n="[ТаблПогрузкаМоряк].[Дата  составления  B\L Морского Судна].&amp;[2026-01-26T00:00:00]" c="26.01.2026"/>
              <i n="[ТаблПогрузкаМоряк].[Дата  составления  B\L Морского Судна].&amp;[2026-02-06T00:00:00]" c="06.02.2026"/>
              <i n="[ТаблПогрузкаМоряк].[Дата  составления  B\L Морского Судна].&amp;[2026-03-06T00:00:00]" c="06.03.2026"/>
              <i n="[ТаблПогрузкаМоряк].[Дата  составления  B\L Морского Судна].&amp;[2026-03-17T00:00:00]" c="17.03.2026"/>
              <i n="[ТаблПогрузкаМоряк].[Дата  составления  B\L Морского Судна].&amp;[2026-03-27T00:00:00]" c="27.03.2026"/>
            </range>
          </ranges>
        </level>
      </levels>
      <selections count="1">
        <selection n="[ТаблПогрузкаМоряк].[Дата  составления  B\L Морского Судна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ТХ" sourceName="[ТаблПогруз].[ТХ]">
  <pivotTables>
    <pivotTable tabId="10" name="Сводная таблица1"/>
  </pivotTables>
  <data>
    <olap pivotCacheId="193">
      <levels count="2">
        <level uniqueName="[ТаблПогруз].[ТХ].[(All)]" sourceCaption="(All)" count="0"/>
        <level uniqueName="[ТаблПогруз].[ТХ].[ТХ]" sourceCaption="ТХ" count="24">
          <ranges>
            <range startItem="0">
              <i n="[ТаблПогруз].[ТХ].&amp;[Волго-Дон 5079 ИМО 8852784]" c="Волго-Дон 5079 ИМО 8852784"/>
              <i n="[ТаблПогруз].[ТХ].&amp;[т/х Астра Меридиан ИМО8721399]" c="т/х Астра Меридиан ИМО8721399"/>
              <i n="[ТаблПогруз].[ТХ].&amp;[т/х В.Успенский   ИМО 8946389]" c="т/х В.Успенский   ИМО 8946389"/>
              <i n="[ТаблПогруз].[ТХ].&amp;[т/х Волго-Дон 217 ИМО 8946377]" c="т/х Волго-Дон 217 ИМО 8946377"/>
              <i n="[ТаблПогруз].[ТХ].&amp;[т/х Волго-Дон 5011 ИМО8951310]" c="т/х Волго-Дон 5011 ИМО8951310"/>
              <i n="[ТаблПогруз].[ТХ].&amp;[т/х Волго-Дон 5043 ИМО8866321]" c="т/х Волго-Дон 5043 ИМО8866321"/>
              <i n="[ТаблПогруз].[ТХ].&amp;[т/х Дон 7111420]" c="т/х Дон 7111420"/>
              <i n="[ТаблПогруз].[ТХ].&amp;[т/х Дон Стар 1 ИМО 8866735]" c="т/х Дон Стар 1 ИМО 8866735"/>
              <i n="[ТаблПогруз].[ТХ].&amp;[т/х Дон Стар 2 ИМО 7911480]" c="т/х Дон Стар 2 ИМО 7911480"/>
              <i n="[ТаблПогруз].[ТХ].&amp;[т/х Дон Стар 4 ИМО 7911478]" c="т/х Дон Стар 4 ИМО 7911478"/>
              <i n="[ТаблПогруз].[ТХ].&amp;[т/х Дон Стар 5 ИМО 8955469]" c="т/х Дон Стар 5 ИМО 8955469"/>
              <i n="[ТаблПогруз].[ТХ].&amp;[т/х Дон Стар 6 ИМО 8951396]" c="т/х Дон Стар 6 ИМО 8951396"/>
              <i n="[ТаблПогруз].[ТХ].&amp;[т/х Дон Стар 7 ИМО 8844153]" c="т/х Дон Стар 7 ИМО 8844153"/>
              <i n="[ТаблПогруз].[ТХ].&amp;[т/х Дон Стар 8 ИМО 8884957]" c="т/х Дон Стар 8 ИМО 8884957"/>
              <i n="[ТаблПогруз].[ТХ].&amp;[т/х Святой Спиридон ИМО9087104]" c="т/х Святой Спиридон ИМО9087104"/>
              <i n="[ТаблПогруз].[ТХ].&amp;[ т/х Ugah Confidence]" c=" т/х Ugah Confidence" nd="1"/>
              <i n="[ТаблПогруз].[ТХ].&amp;[ т/х Волжский 33 ИМО 8955641]" c=" т/х Волжский 33 ИМО 8955641" nd="1"/>
              <i n="[ТаблПогруз].[ТХ].&amp;[ т/х Н.Мешков ИМО 8862507]" c=" т/х Н.Мешков ИМО 8862507" nd="1"/>
              <i n="[ТаблПогруз].[ТХ].&amp;[т/х Абрамцево ИМО8947955]" c="т/х Абрамцево ИМО8947955" nd="1"/>
              <i n="[ТаблПогруз].[ТХ].&amp;[т/х Волго-Дон219 ИМО8959207]" c="т/х Волго-Дон219 ИМО8959207" nd="1"/>
              <i n="[ТаблПогруз].[ТХ].&amp;[т/х Герой И.И.Петров//нб Балтис ИМО  2186884]" c="т/х Герой И.И.Петров//нб Балтис ИМО  2186884" nd="1"/>
              <i n="[ТаблПогруз].[ТХ].&amp;[т/х Дон Стар 3 ИМО 7911507]" c="т/х Дон Стар 3 ИМО 7911507" nd="1"/>
              <i n="[ТаблПогруз].[ТХ].&amp;[т/х Линда1 ИМО8951334]" c="т/х Линда1 ИМО8951334" nd="1"/>
              <i n="[ТаблПогруз].[ТХ].&amp;[т/х Соммерс ИМО7111420]" c="т/х Соммерс ИМО7111420" nd="1"/>
            </range>
          </ranges>
        </level>
      </levels>
      <selections count="1">
        <selection n="[ТаблПогруз].[ТХ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ТаблПогруз].[ТХ].[ТХ]" count="9"/>
      </x15:slicerCacheHideItemsWithNoData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Вес_по__B\L" sourceName="[ТаблПогруз].[Вес по  B\L]">
  <pivotTables>
    <pivotTable tabId="10" name="Сводная таблица1"/>
  </pivotTables>
  <data>
    <olap pivotCacheId="193">
      <levels count="2">
        <level uniqueName="[ТаблПогруз].[Вес по  B\L].[(All)]" sourceCaption="(All)" count="0"/>
        <level uniqueName="[ТаблПогруз].[Вес по  B\L].[Вес по  B\L]" sourceCaption="Вес по  B\L" count="113">
          <ranges>
            <range startItem="0">
              <i n="[ТаблПогруз].[Вес по  B\L].&amp;[2.788984E3]" c="2788,984"/>
              <i n="[ТаблПогруз].[Вес по  B\L].&amp;[2.800063E3]" c="2800,063"/>
              <i n="[ТаблПогруз].[Вес по  B\L].&amp;[2.800162E3]" c="2800,162"/>
              <i n="[ТаблПогруз].[Вес по  B\L].&amp;[2.80213E3]" c="2802,13"/>
              <i n="[ТаблПогруз].[Вес по  B\L].&amp;[2.879781E3]" c="2879,781"/>
              <i n="[ТаблПогруз].[Вес по  B\L].&amp;[3.008046E3]" c="3008,046"/>
              <i n="[ТаблПогруз].[Вес по  B\L].&amp;[3.0808E3]" c="3080,8"/>
              <i n="[ТаблПогруз].[Вес по  B\L].&amp;[3.103185E3]" c="3103,185"/>
              <i n="[ТаблПогруз].[Вес по  B\L].&amp;[3.179679E3]" c="3179,679"/>
              <i n="[ТаблПогруз].[Вес по  B\L].&amp;[3.209933E3]" c="3209,933"/>
              <i n="[ТаблПогруз].[Вес по  B\L].&amp;[3.214206E3]" c="3214,206"/>
              <i n="[ТаблПогруз].[Вес по  B\L].&amp;[3.235349E3]" c="3235,349"/>
              <i n="[ТаблПогруз].[Вес по  B\L].&amp;[3.235898E3]" c="3235,898"/>
              <i n="[ТаблПогруз].[Вес по  B\L].&amp;[3.249964E3]" c="3249,964"/>
              <i n="[ТаблПогруз].[Вес по  B\L].&amp;[3.251256E3]" c="3251,256"/>
              <i n="[ТаблПогруз].[Вес по  B\L].&amp;[3.269043E3]" c="3269,043"/>
              <i n="[ТаблПогруз].[Вес по  B\L].&amp;[3.299525E3]" c="3299,525"/>
              <i n="[ТаблПогруз].[Вес по  B\L].&amp;[3.299959E3]" c="3299,959"/>
              <i n="[ТаблПогруз].[Вес по  B\L].&amp;[3.300139E3]" c="3300,139"/>
              <i n="[ТаблПогруз].[Вес по  B\L].&amp;[3.30029E3]" c="3300,29"/>
              <i n="[ТаблПогруз].[Вес по  B\L].&amp;[3.300549E3]" c="3300,549"/>
              <i n="[ТаблПогруз].[Вес по  B\L].&amp;[3.301946E3]" c="3301,946"/>
              <i n="[ТаблПогруз].[Вес по  B\L].&amp;[3.700716E3]" c="3700,716"/>
              <i n="[ТаблПогруз].[Вес по  B\L].&amp;[3.72546E3]" c="3725,46"/>
              <i n="[ТаблПогруз].[Вес по  B\L].&amp;[3.9E3]" c="3900"/>
              <i n="[ТаблПогруз].[Вес по  B\L].&amp;[4.001598E3]" c="4001,598"/>
              <i n="[ТаблПогруз].[Вес по  B\L].&amp;[4.001757E3]" c="4001,757"/>
              <i n="[ТаблПогруз].[Вес по  B\L].&amp;[4.009127E3]" c="4009,127"/>
              <i n="[ТаблПогруз].[Вес по  B\L].&amp;[4.011344E3]" c="4011,344"/>
              <i n="[ТаблПогруз].[Вес по  B\L].&amp;[4.012398E3]" c="4012,398"/>
              <i n="[ТаблПогруз].[Вес по  B\L].&amp;[4.015427E3]" c="4015,427"/>
              <i n="[ТаблПогруз].[Вес по  B\L].&amp;[4.019038E3]" c="4019,038"/>
              <i n="[ТаблПогруз].[Вес по  B\L].&amp;[4.034285E3]" c="4034,285"/>
              <i n="[ТаблПогруз].[Вес по  B\L].&amp;[4.055246E3]" c="4055,246"/>
              <i n="[ТаблПогруз].[Вес по  B\L].&amp;[4.159927E3]" c="4159,927"/>
              <i n="[ТаблПогруз].[Вес по  B\L].&amp;[4.196622E3]" c="4196,622"/>
              <i n="[ТаблПогруз].[Вес по  B\L].&amp;[4.268103E3]" c="4268,103"/>
              <i n="[ТаблПогруз].[Вес по  B\L].&amp;[4.30056E3]" c="4300,56"/>
              <i n="[ТаблПогруз].[Вес по  B\L].&amp;[4.350052E3]" c="4350,052"/>
              <i n="[ТаблПогруз].[Вес по  B\L].&amp;[4.60024E3]" c="4600,24"/>
              <i n="[ТаблПогруз].[Вес по  B\L].&amp;[4.610754E3]" c="4610,754"/>
              <i n="[ТаблПогруз].[Вес по  B\L].&amp;[4.751217E3]" c="4751,217"/>
              <i n="[ТаблПогруз].[Вес по  B\L].&amp;[4.756879E3]" c="4756,879"/>
              <i n="[ТаблПогруз].[Вес по  B\L].&amp;[4.756963E3]" c="4756,963"/>
              <i n="[ТаблПогруз].[Вес по  B\L].&amp;[4.780745E3]" c="4780,745"/>
              <i n="[ТаблПогруз].[Вес по  B\L].&amp;[4.812326E3]" c="4812,326"/>
              <i n="[ТаблПогруз].[Вес по  B\L].&amp;" c="(пусто)" nd="1"/>
              <i n="[ТаблПогруз].[Вес по  B\L].&amp;[1.6285E2]" c="162,85" nd="1"/>
              <i n="[ТаблПогруз].[Вес по  B\L].&amp;[5.96239E2]" c="596,239" nd="1"/>
              <i n="[ТаблПогруз].[Вес по  B\L].&amp;[6.45538E2]" c="645,538" nd="1"/>
              <i n="[ТаблПогруз].[Вес по  B\L].&amp;[8.19621E2]" c="819,621" nd="1"/>
              <i n="[ТаблПогруз].[Вес по  B\L].&amp;[9.28772E2]" c="928,772" nd="1"/>
              <i n="[ТаблПогруз].[Вес по  B\L].&amp;[1.049139E3]" c="1049,139" nd="1"/>
              <i n="[ТаблПогруз].[Вес по  B\L].&amp;[1.144855E3]" c="1144,855" nd="1"/>
              <i n="[ТаблПогруз].[Вес по  B\L].&amp;[1.346396E3]" c="1346,396" nd="1"/>
              <i n="[ТаблПогруз].[Вес по  B\L].&amp;[1.457178E3]" c="1457,178" nd="1"/>
              <i n="[ТаблПогруз].[Вес по  B\L].&amp;[1.657629E3]" c="1657,629" nd="1"/>
              <i n="[ТаблПогруз].[Вес по  B\L].&amp;[1.97159E3]" c="1971,59" nd="1"/>
              <i n="[ТаблПогруз].[Вес по  B\L].&amp;[2.080394E3]" c="2080,394" nd="1"/>
              <i n="[ТаблПогруз].[Вес по  B\L].&amp;[2.322904E3]" c="2322,904" nd="1"/>
              <i n="[ТаблПогруз].[Вес по  B\L].&amp;[2.404934E3]" c="2404,934" nd="1"/>
              <i n="[ТаблПогруз].[Вес по  B\L].&amp;[2.45891E3]" c="2458,91" nd="1"/>
              <i n="[ТаблПогруз].[Вес по  B\L].&amp;[2.67578E3]" c="2675,78" nd="1"/>
              <i n="[ТаблПогруз].[Вес по  B\L].&amp;[2.79982E3]" c="2799,82" nd="1"/>
              <i n="[ТаблПогруз].[Вес по  B\L].&amp;[2.80348E3]" c="2803,48" nd="1"/>
              <i n="[ТаблПогруз].[Вес по  B\L].&amp;[2.81244E3]" c="2812,44" nd="1"/>
              <i n="[ТаблПогруз].[Вес по  B\L].&amp;[2.901624E3]" c="2901,624" nd="1"/>
              <i n="[ТаблПогруз].[Вес по  B\L].&amp;[2.982101E3]" c="2982,101" nd="1"/>
              <i n="[ТаблПогруз].[Вес по  B\L].&amp;[3.000379E3]" c="3000,379" nd="1"/>
              <i n="[ТаблПогруз].[Вес по  B\L].&amp;[3.001336E3]" c="3001,336" nd="1"/>
              <i n="[ТаблПогруз].[Вес по  B\L].&amp;[3.028724E3]" c="3028,724" nd="1"/>
              <i n="[ТаблПогруз].[Вес по  B\L].&amp;[3.02904E3]" c="3029,04" nd="1"/>
              <i n="[ТаблПогруз].[Вес по  B\L].&amp;[3.04656E3]" c="3046,56" nd="1"/>
              <i n="[ТаблПогруз].[Вес по  B\L].&amp;[3.112486E3]" c="3112,486" nd="1"/>
              <i n="[ТаблПогруз].[Вес по  B\L].&amp;[3.123099E3]" c="3123,099" nd="1"/>
              <i n="[ТаблПогруз].[Вес по  B\L].&amp;[3.1695E3]" c="3169,5" nd="1"/>
              <i n="[ТаблПогруз].[Вес по  B\L].&amp;[3.197199E3]" c="3197,199" nd="1"/>
              <i n="[ТаблПогруз].[Вес по  B\L].&amp;[3.199052E3]" c="3199,052" nd="1"/>
              <i n="[ТаблПогруз].[Вес по  B\L].&amp;[3.202058E3]" c="3202,058" nd="1"/>
              <i n="[ТаблПогруз].[Вес по  B\L].&amp;[3.20754E3]" c="3207,54" nd="1"/>
              <i n="[ТаблПогруз].[Вес по  B\L].&amp;[3.221409E3]" c="3221,409" nd="1"/>
              <i n="[ТаблПогруз].[Вес по  B\L].&amp;[3.237906E3]" c="3237,906" nd="1"/>
              <i n="[ТаблПогруз].[Вес по  B\L].&amp;[3.241208E3]" c="3241,208" nd="1"/>
              <i n="[ТаблПогруз].[Вес по  B\L].&amp;[3.24878E3]" c="3248,78" nd="1"/>
              <i n="[ТаблПогруз].[Вес по  B\L].&amp;[3.256345E3]" c="3256,345" nd="1"/>
              <i n="[ТаблПогруз].[Вес по  B\L].&amp;[3.259541E3]" c="3259,541" nd="1"/>
              <i n="[ТаблПогруз].[Вес по  B\L].&amp;[3.30007E3]" c="3300,07" nd="1"/>
              <i n="[ТаблПогруз].[Вес по  B\L].&amp;[3.30042E3]" c="3300,42" nd="1"/>
              <i n="[ТаблПогруз].[Вес по  B\L].&amp;[3.300542E3]" c="3300,542" nd="1"/>
              <i n="[ТаблПогруз].[Вес по  B\L].&amp;[3.309655E3]" c="3309,655" nd="1"/>
              <i n="[ТаблПогруз].[Вес по  B\L].&amp;[3.6681E3]" c="3668,1" nd="1"/>
              <i n="[ТаблПогруз].[Вес по  B\L].&amp;[3.75769E3]" c="3757,69" nd="1"/>
              <i n="[ТаблПогруз].[Вес по  B\L].&amp;[3.761523E3]" c="3761,523" nd="1"/>
              <i n="[ТаблПогруз].[Вес по  B\L].&amp;[3.99237E3]" c="3992,37" nd="1"/>
              <i n="[ТаблПогруз].[Вес по  B\L].&amp;[4.00366E3]" c="4003,66" nd="1"/>
              <i n="[ТаблПогруз].[Вес по  B\L].&amp;[4.010001E3]" c="4010,001" nd="1"/>
              <i n="[ТаблПогруз].[Вес по  B\L].&amp;[4.011556E3]" c="4011,556" nd="1"/>
              <i n="[ТаблПогруз].[Вес по  B\L].&amp;[4.012546E3]" c="4012,546" nd="1"/>
              <i n="[ТаблПогруз].[Вес по  B\L].&amp;[4.025298E3]" c="4025,298" nd="1"/>
              <i n="[ТаблПогруз].[Вес по  B\L].&amp;[4.03403E3]" c="4034,03" nd="1"/>
              <i n="[ТаблПогруз].[Вес по  B\L].&amp;[4.053075E3]" c="4053,075" nd="1"/>
              <i n="[ТаблПогруз].[Вес по  B\L].&amp;[4.68014E3]" c="4680,14" nd="1"/>
              <i n="[ТаблПогруз].[Вес по  B\L].&amp;[4.75028E3]" c="4750,28" nd="1"/>
              <i n="[ТаблПогруз].[Вес по  B\L].&amp;[4.75608E3]" c="4756,08" nd="1"/>
              <i n="[ТаблПогруз].[Вес по  B\L].&amp;[4.775846E3]" c="4775,846" nd="1"/>
              <i n="[ТаблПогруз].[Вес по  B\L].&amp;[4.779216E3]" c="4779,216" nd="1"/>
              <i n="[ТаблПогруз].[Вес по  B\L].&amp;[4.7795E3]" c="4779,5" nd="1"/>
              <i n="[ТаблПогруз].[Вес по  B\L].&amp;[4.781258E3]" c="4781,258" nd="1"/>
              <i n="[ТаблПогруз].[Вес по  B\L].&amp;[4.8E3]" c="4800" nd="1"/>
              <i n="[ТаблПогруз].[Вес по  B\L].&amp;[4.817806E3]" c="4817,806" nd="1"/>
              <i n="[ТаблПогруз].[Вес по  B\L].&amp;[5.0078E3]" c="5007,8" nd="1"/>
              <i n="[ТаблПогруз].[Вес по  B\L].&amp;[5.01962E3]" c="5019,62" nd="1"/>
              <i n="[ТаблПогруз].[Вес по  B\L].&amp;[5.267E3]" c="5267" nd="1"/>
            </range>
          </ranges>
        </level>
      </levels>
      <selections count="1">
        <selection n="[ТаблПогруз].[Вес по  B\L].[All]"/>
      </selections>
    </olap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" sourceName="[ТаблПогруз].[Дата  составления  B\L]">
  <pivotTables>
    <pivotTable tabId="10" name="Сводная таблица1"/>
  </pivotTables>
  <data>
    <olap pivotCacheId="193">
      <levels count="2">
        <level uniqueName="[ТаблПогруз].[Дата  составления  B\L].[(All)]" sourceCaption="(All)" count="0"/>
        <level uniqueName="[ТаблПогруз].[Дата  составления  B\L].[Дата  составления  B\L]" sourceCaption="Дата  составления  B\L" count="90">
          <ranges>
            <range startItem="0">
              <i n="[ТаблПогруз].[Дата  составления  B\L].&amp;[2025-11-15T00:00:00]" c="15.11.2025"/>
              <i n="[ТаблПогруз].[Дата  составления  B\L].&amp;[2025-12-06T00:00:00]" c="06.12.2025"/>
              <i n="[ТаблПогруз].[Дата  составления  B\L].&amp;[2025-12-08T00:00:00]" c="08.12.2025"/>
              <i n="[ТаблПогруз].[Дата  составления  B\L].&amp;[2025-12-12T00:00:00]" c="12.12.2025"/>
              <i n="[ТаблПогруз].[Дата  составления  B\L].&amp;[2025-12-16T00:00:00]" c="16.12.2025"/>
              <i n="[ТаблПогруз].[Дата  составления  B\L].&amp;[2025-12-18T00:00:00]" c="18.12.2025"/>
              <i n="[ТаблПогруз].[Дата  составления  B\L].&amp;[2025-12-20T00:00:00]" c="20.12.2025"/>
              <i n="[ТаблПогруз].[Дата  составления  B\L].&amp;[2025-12-22T00:00:00]" c="22.12.2025"/>
              <i n="[ТаблПогруз].[Дата  составления  B\L].&amp;[2025-12-26T00:00:00]" c="26.12.2025"/>
              <i n="[ТаблПогруз].[Дата  составления  B\L].&amp;[2025-12-27T00:00:00]" c="27.12.2025"/>
              <i n="[ТаблПогруз].[Дата  составления  B\L].&amp;[2025-12-28T00:00:00]" c="28.12.2025"/>
              <i n="[ТаблПогруз].[Дата  составления  B\L].&amp;[2025-12-29T00:00:00]" c="29.12.2025"/>
              <i n="[ТаблПогруз].[Дата  составления  B\L].&amp;[2025-12-30T00:00:00]" c="30.12.2025"/>
              <i n="[ТаблПогруз].[Дата  составления  B\L].&amp;[2025-12-31T00:00:00]" c="31.12.2025"/>
              <i n="[ТаблПогруз].[Дата  составления  B\L].&amp;[2026-01-03T00:00:00]" c="03.01.2026"/>
              <i n="[ТаблПогруз].[Дата  составления  B\L].&amp;[2026-01-08T00:00:00]" c="08.01.2026"/>
              <i n="[ТаблПогруз].[Дата  составления  B\L].&amp;[2026-01-13T00:00:00]" c="13.01.2026"/>
              <i n="[ТаблПогруз].[Дата  составления  B\L].&amp;[2026-01-16T00:00:00]" c="16.01.2026"/>
              <i n="[ТаблПогруз].[Дата  составления  B\L].&amp;[2026-01-17T00:00:00]" c="17.01.2026"/>
              <i n="[ТаблПогруз].[Дата  составления  B\L].&amp;[2026-01-27T00:00:00]" c="27.01.2026"/>
              <i n="[ТаблПогруз].[Дата  составления  B\L].&amp;[2026-02-01T00:00:00]" c="01.02.2026"/>
              <i n="[ТаблПогруз].[Дата  составления  B\L].&amp;[2026-02-14T00:00:00]" c="14.02.2026"/>
              <i n="[ТаблПогруз].[Дата  составления  B\L].&amp;[2026-02-16T00:00:00]" c="16.02.2026"/>
              <i n="[ТаблПогруз].[Дата  составления  B\L].&amp;[2026-02-24T00:00:00]" c="24.02.2026"/>
              <i n="[ТаблПогруз].[Дата  составления  B\L].&amp;[2026-02-27T00:00:00]" c="27.02.2026"/>
              <i n="[ТаблПогруз].[Дата  составления  B\L].&amp;[2026-02-28T00:00:00]" c="28.02.2026"/>
              <i n="[ТаблПогруз].[Дата  составления  B\L].&amp;[2026-03-01T00:00:00]" c="01.03.2026"/>
              <i n="[ТаблПогруз].[Дата  составления  B\L].&amp;[2026-03-02T00:00:00]" c="02.03.2026"/>
              <i n="[ТаблПогруз].[Дата  составления  B\L].&amp;[2026-03-05T00:00:00]" c="05.03.2026"/>
              <i n="[ТаблПогруз].[Дата  составления  B\L].&amp;[2026-03-07T00:00:00]" c="07.03.2026"/>
              <i n="[ТаблПогруз].[Дата  составления  B\L].&amp;[2026-03-08T00:00:00]" c="08.03.2026"/>
              <i n="[ТаблПогруз].[Дата  составления  B\L].&amp;[2026-03-09T00:00:00]" c="09.03.2026"/>
              <i n="[ТаблПогруз].[Дата  составления  B\L].&amp;[2026-03-10T00:00:00]" c="10.03.2026"/>
              <i n="[ТаблПогруз].[Дата  составления  B\L].&amp;[2026-03-11T00:00:00]" c="11.03.2026"/>
              <i n="[ТаблПогруз].[Дата  составления  B\L].&amp;[2026-03-12T00:00:00]" c="12.03.2026"/>
              <i n="[ТаблПогруз].[Дата  составления  B\L].&amp;[2026-03-15T00:00:00]" c="15.03.2026"/>
              <i n="[ТаблПогруз].[Дата  составления  B\L].&amp;[2026-03-17T00:00:00]" c="17.03.2026"/>
              <i n="[ТаблПогруз].[Дата  составления  B\L].&amp;[2026-03-18T00:00:00]" c="18.03.2026"/>
              <i n="[ТаблПогруз].[Дата  составления  B\L].&amp;" c="(пусто)" nd="1"/>
              <i n="[ТаблПогруз].[Дата  составления  B\L].&amp;[2025-10-16T00:00:00]" c="16.10.2025" nd="1"/>
              <i n="[ТаблПогруз].[Дата  составления  B\L].&amp;[2025-10-18T00:00:00]" c="18.10.2025" nd="1"/>
              <i n="[ТаблПогруз].[Дата  составления  B\L].&amp;[2025-10-20T00:00:00]" c="20.10.2025" nd="1"/>
              <i n="[ТаблПогруз].[Дата  составления  B\L].&amp;[2025-10-21T00:00:00]" c="21.10.2025" nd="1"/>
              <i n="[ТаблПогруз].[Дата  составления  B\L].&amp;[2025-10-22T00:00:00]" c="22.10.2025" nd="1"/>
              <i n="[ТаблПогруз].[Дата  составления  B\L].&amp;[2025-10-23T00:00:00]" c="23.10.2025" nd="1"/>
              <i n="[ТаблПогруз].[Дата  составления  B\L].&amp;[2025-10-24T00:00:00]" c="24.10.2025" nd="1"/>
              <i n="[ТаблПогруз].[Дата  составления  B\L].&amp;[2025-10-26T00:00:00]" c="26.10.2025" nd="1"/>
              <i n="[ТаблПогруз].[Дата  составления  B\L].&amp;[2025-10-27T00:00:00]" c="27.10.2025" nd="1"/>
              <i n="[ТаблПогруз].[Дата  составления  B\L].&amp;[2025-10-30T00:00:00]" c="30.10.2025" nd="1"/>
              <i n="[ТаблПогруз].[Дата  составления  B\L].&amp;[2025-10-31T00:00:00]" c="31.10.2025" nd="1"/>
              <i n="[ТаблПогруз].[Дата  составления  B\L].&amp;[2025-11-01T00:00:00]" c="01.11.2025" nd="1"/>
              <i n="[ТаблПогруз].[Дата  составления  B\L].&amp;[2025-11-02T00:00:00]" c="02.11.2025" nd="1"/>
              <i n="[ТаблПогруз].[Дата  составления  B\L].&amp;[2025-11-03T00:00:00]" c="03.11.2025" nd="1"/>
              <i n="[ТаблПогруз].[Дата  составления  B\L].&amp;[2025-11-05T00:00:00]" c="05.11.2025" nd="1"/>
              <i n="[ТаблПогруз].[Дата  составления  B\L].&amp;[2025-11-06T00:00:00]" c="06.11.2025" nd="1"/>
              <i n="[ТаблПогруз].[Дата  составления  B\L].&amp;[2025-11-07T00:00:00]" c="07.11.2025" nd="1"/>
              <i n="[ТаблПогруз].[Дата  составления  B\L].&amp;[2025-11-08T00:00:00]" c="08.11.2025" nd="1"/>
              <i n="[ТаблПогруз].[Дата  составления  B\L].&amp;[2025-11-09T00:00:00]" c="09.11.2025" nd="1"/>
              <i n="[ТаблПогруз].[Дата  составления  B\L].&amp;[2025-11-10T00:00:00]" c="10.11.2025" nd="1"/>
              <i n="[ТаблПогруз].[Дата  составления  B\L].&amp;[2025-11-13T00:00:00]" c="13.11.2025" nd="1"/>
              <i n="[ТаблПогруз].[Дата  составления  B\L].&amp;[2025-11-18T00:00:00]" c="18.11.2025" nd="1"/>
              <i n="[ТаблПогруз].[Дата  составления  B\L].&amp;[2025-11-20T00:00:00]" c="20.11.2025" nd="1"/>
              <i n="[ТаблПогруз].[Дата  составления  B\L].&amp;[2025-11-21T00:00:00]" c="21.11.2025" nd="1"/>
              <i n="[ТаблПогруз].[Дата  составления  B\L].&amp;[2025-11-22T00:00:00]" c="22.11.2025" nd="1"/>
              <i n="[ТаблПогруз].[Дата  составления  B\L].&amp;[2025-11-25T00:00:00]" c="25.11.2025" nd="1"/>
              <i n="[ТаблПогруз].[Дата  составления  B\L].&amp;[2025-11-26T00:00:00]" c="26.11.2025" nd="1"/>
              <i n="[ТаблПогруз].[Дата  составления  B\L].&amp;[2025-11-27T00:00:00]" c="27.11.2025" nd="1"/>
              <i n="[ТаблПогруз].[Дата  составления  B\L].&amp;[2025-11-28T00:00:00]" c="28.11.2025" nd="1"/>
              <i n="[ТаблПогруз].[Дата  составления  B\L].&amp;[2025-12-01T00:00:00]" c="01.12.2025" nd="1"/>
              <i n="[ТаблПогруз].[Дата  составления  B\L].&amp;[2025-12-02T00:00:00]" c="02.12.2025" nd="1"/>
              <i n="[ТаблПогруз].[Дата  составления  B\L].&amp;[2025-12-03T00:00:00]" c="03.12.2025" nd="1"/>
              <i n="[ТаблПогруз].[Дата  составления  B\L].&amp;[2025-12-04T00:00:00]" c="04.12.2025" nd="1"/>
              <i n="[ТаблПогруз].[Дата  составления  B\L].&amp;[2025-12-05T00:00:00]" c="05.12.2025" nd="1"/>
              <i n="[ТаблПогруз].[Дата  составления  B\L].&amp;[2026-01-12T00:00:00]" c="12.01.2026" nd="1"/>
              <i n="[ТаблПогруз].[Дата  составления  B\L].&amp;[2026-02-03T00:00:00]" c="03.02.2026" nd="1"/>
              <i n="[ТаблПогруз].[Дата  составления  B\L].&amp;[2026-02-12T00:00:00]" c="12.02.2026" nd="1"/>
              <i n="[ТаблПогруз].[Дата  составления  B\L].&amp;[2026-02-15T00:00:00]" c="15.02.2026" nd="1"/>
              <i n="[ТаблПогруз].[Дата  составления  B\L].&amp;[2026-03-19T00:00:00]" c="19.03.2026" nd="1"/>
              <i n="[ТаблПогруз].[Дата  составления  B\L].&amp;[2026-03-20T00:00:00]" c="20.03.2026" nd="1"/>
              <i n="[ТаблПогруз].[Дата  составления  B\L].&amp;[2026-03-21T00:00:00]" c="21.03.2026" nd="1"/>
              <i n="[ТаблПогруз].[Дата  составления  B\L].&amp;[2026-03-22T00:00:00]" c="22.03.2026" nd="1"/>
              <i n="[ТаблПогруз].[Дата  составления  B\L].&amp;[2026-03-23T00:00:00]" c="23.03.2026" nd="1"/>
              <i n="[ТаблПогруз].[Дата  составления  B\L].&amp;[2026-03-25T00:00:00]" c="25.03.2026" nd="1"/>
              <i n="[ТаблПогруз].[Дата  составления  B\L].&amp;[2026-03-27T00:00:00]" c="27.03.2026" nd="1"/>
              <i n="[ТаблПогруз].[Дата  составления  B\L].&amp;[2026-03-28T00:00:00]" c="28.03.2026" nd="1"/>
              <i n="[ТаблПогруз].[Дата  составления  B\L].&amp;[2026-03-29T00:00:00]" c="29.03.2026" nd="1"/>
              <i n="[ТаблПогруз].[Дата  составления  B\L].&amp;[2026-04-01T00:00:00]" c="01.04.2026" nd="1"/>
              <i n="[ТаблПогруз].[Дата  составления  B\L].&amp;[2026-04-02T00:00:00]" c="02.04.2026" nd="1"/>
              <i n="[ТаблПогруз].[Дата  составления  B\L].&amp;[2026-04-05T00:00:00]" c="05.04.2026" nd="1"/>
              <i n="[ТаблПогруз].[Дата  составления  B\L].&amp;[2026-04-06T00:00:00]" c="06.04.2026" nd="1"/>
            </range>
          </ranges>
        </level>
      </levels>
      <selections count="1">
        <selection n="[ТаблПогруз].[Дата  составления  B\L].[All]"/>
      </selections>
    </olap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сяц2" sourceName="[ТаблПогрузкаМоряк].[месяц]">
  <pivotTables>
    <pivotTable tabId="10" name="Сводная таблица1"/>
  </pivotTables>
  <data>
    <olap pivotCacheId="193">
      <levels count="2">
        <level uniqueName="[ТаблПогрузкаМоряк].[месяц].[(All)]" sourceCaption="(All)" count="0"/>
        <level uniqueName="[ТаблПогрузкаМоряк].[месяц].[месяц]" sourceCaption="месяц" count="3">
          <ranges>
            <range startItem="0">
              <i n="[ТаблПогрузкаМоряк].[месяц].&amp;[мар]" c="мар"/>
              <i n="[ТаблПогрузкаМоряк].[месяц].&amp;[фев]" c="фев"/>
              <i n="[ТаблПогрузкаМоряк].[месяц].&amp;[янв]" c="янв"/>
            </range>
          </ranges>
        </level>
      </levels>
      <selections count="1">
        <selection n="[ТаблПогрузкаМоряк].[месяц].[All]"/>
      </selections>
    </olap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оизв.Неделя" sourceName="[ТаблПогрузкаМоряк].[Произв.Неделя]">
  <pivotTables>
    <pivotTable tabId="10" name="Сводная таблица1"/>
  </pivotTables>
  <data>
    <olap pivotCacheId="193">
      <levels count="2">
        <level uniqueName="[ТаблПогрузкаМоряк].[Произв.Неделя].[(All)]" sourceCaption="(All)" count="0"/>
        <level uniqueName="[ТаблПогрузкаМоряк].[Произв.Неделя].[Произв.Неделя]" sourceCaption="Произв.Неделя" count="5">
          <ranges>
            <range startItem="0">
              <i n="[ТаблПогрузкаМоряк].[Произв.Неделя].&amp;[5]" c="5"/>
              <i n="[ТаблПогрузкаМоряк].[Произв.Неделя].&amp;[6]" c="6"/>
              <i n="[ТаблПогрузкаМоряк].[Произв.Неделя].&amp;[10]" c="10"/>
              <i n="[ТаблПогрузкаМоряк].[Произв.Неделя].&amp;[12]" c="12"/>
              <i n="[ТаблПогрузкаМоряк].[Произв.Неделя].&amp;[13]" c="13"/>
            </range>
          </ranges>
        </level>
      </levels>
      <selections count="1">
        <selection n="[ТаблПогрузкаМоряк].[Произв.Неделя].[All]"/>
      </selections>
    </olap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Накопитель1" sourceName="[ТаблПогрузкаМоряк].[Накопитель]">
  <pivotTables>
    <pivotTable tabId="10" name="Сводная таблица1"/>
  </pivotTables>
  <data>
    <olap pivotCacheId="193">
      <levels count="2">
        <level uniqueName="[ТаблПогрузкаМоряк].[Накопитель].[(All)]" sourceCaption="(All)" count="0"/>
        <level uniqueName="[ТаблПогрузкаМоряк].[Накопитель].[Накопитель]" sourceCaption="Накопитель" count="3">
          <ranges>
            <range startItem="0">
              <i n="[ТаблПогрузкаМоряк].[Накопитель].&amp;" c="(пусто)"/>
              <i n="[ТаблПогрузкаМоряк].[Накопитель].&amp;[m/v Babylon ИМО 8902474]" c="m/v Babylon ИМО 8902474"/>
              <i n="[ТаблПогрузкаМоряк].[Накопитель].&amp;[m/v Loris ИМО 8902436]" c="m/v Loris ИМО 8902436"/>
            </range>
          </ranges>
        </level>
      </levels>
      <selections count="1">
        <selection n="[ТаблПогрузкаМоряк].[Накопитель].[All]"/>
      </selections>
    </olap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орт__погрузки1" sourceName="Порт  погрузки  ">
  <pivotTables>
    <pivotTable tabId="7" name="Сводная таблица1"/>
  </pivotTables>
  <data>
    <tabular pivotCacheId="1">
      <items count="20">
        <i x="8" s="1"/>
        <i x="12" s="1"/>
        <i x="2" s="1"/>
        <i x="4" s="1"/>
        <i x="1" s="1"/>
        <i x="5" s="1" nd="1"/>
        <i x="18" s="1" nd="1"/>
        <i x="19" s="1" nd="1"/>
        <i x="13" s="1" nd="1"/>
        <i x="0" s="1" nd="1"/>
        <i x="17" s="1" nd="1"/>
        <i x="16" s="1" nd="1"/>
        <i x="10" s="1" nd="1"/>
        <i x="9" s="1" nd="1"/>
        <i x="11" s="1" nd="1"/>
        <i x="6" s="1" nd="1"/>
        <i x="7" s="1" nd="1"/>
        <i x="14" s="1" nd="1"/>
        <i x="3" s="1" nd="1"/>
        <i x="15" s="1" nd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Операция" sourceName="[ТаблПогрузкаМоряк].[Операция]">
  <pivotTables>
    <pivotTable tabId="10" name="Сводная таблица1"/>
  </pivotTables>
  <data>
    <olap pivotCacheId="193">
      <levels count="2">
        <level uniqueName="[ТаблПогрузкаМоряк].[Операция].[(All)]" sourceCaption="(All)" count="0"/>
        <level uniqueName="[ТаблПогрузкаМоряк].[Операция].[Операция]" sourceCaption="Операция" count="2">
          <ranges>
            <range startItem="0">
              <i n="[ТаблПогрузкаМоряк].[Операция].&amp;[Перевалка через накопитель]" c="Перевалка через накопитель"/>
              <i n="[ТаблПогрузкаМоряк].[Операция].&amp;[Прямая перевалка]" c="Прямая перевалка"/>
            </range>
          </ranges>
        </level>
      </levels>
      <selections count="1">
        <selection n="[ТаблПогрузкаМоряк].[Операция].[All]"/>
      </selections>
    </olap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Год2" sourceName="Год">
  <pivotTables>
    <pivotTable tabId="16" name="Сводная таблица1"/>
  </pivotTables>
  <data>
    <tabular pivotCacheId="1">
      <items count="4">
        <i x="1" s="1"/>
        <i x="3" s="1" nd="1"/>
        <i x="0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сяц3" sourceName="Месяц">
  <pivotTables>
    <pivotTable tabId="16" name="Сводная таблица1"/>
  </pivotTables>
  <data>
    <tabular pivotCacheId="1">
      <items count="7">
        <i x="3"/>
        <i x="4"/>
        <i x="5" s="1"/>
        <i x="6"/>
        <i x="0"/>
        <i x="1"/>
        <i x="2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Неделя1" sourceName="Неделя">
  <pivotTables>
    <pivotTable tabId="16" name="Сводная таблица1"/>
  </pivotTables>
  <data>
    <tabular pivotCacheId="1">
      <items count="26">
        <i x="18" s="1"/>
        <i x="19" s="1"/>
        <i x="20" s="1"/>
        <i x="21" s="1"/>
        <i x="23" s="1"/>
        <i x="11" s="1" nd="1"/>
        <i x="12" s="1" nd="1"/>
        <i x="13" s="1" nd="1"/>
        <i x="25" s="1" nd="1"/>
        <i x="14" s="1" nd="1"/>
        <i x="15" s="1" nd="1"/>
        <i x="16" s="1" nd="1"/>
        <i x="17" s="1" nd="1"/>
        <i x="22" s="1" nd="1"/>
        <i x="24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орт__погрузки11" sourceName="Порт  погрузки  ">
  <pivotTables>
    <pivotTable tabId="16" name="Сводная таблица1"/>
  </pivotTables>
  <data>
    <tabular pivotCacheId="1">
      <items count="20">
        <i x="8" s="1"/>
        <i x="12" s="1"/>
        <i x="4" s="1"/>
        <i x="1" s="1"/>
        <i x="5" s="1" nd="1"/>
        <i x="18" s="1" nd="1"/>
        <i x="19" s="1" nd="1"/>
        <i x="13" s="1" nd="1"/>
        <i x="0" s="1" nd="1"/>
        <i x="2" s="1" nd="1"/>
        <i x="17" s="1" nd="1"/>
        <i x="16" s="1" nd="1"/>
        <i x="10" s="1" nd="1"/>
        <i x="9" s="1" nd="1"/>
        <i x="11" s="1" nd="1"/>
        <i x="6" s="1" nd="1"/>
        <i x="7" s="1" nd="1"/>
        <i x="14" s="1" nd="1"/>
        <i x="3" s="1" nd="1"/>
        <i x="15" s="1" nd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татус_Рейсового__задания" sourceName="Статус Рейсового  задания  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Год1" sourceName="Год">
  <extLst>
    <x:ext xmlns:x15="http://schemas.microsoft.com/office/spreadsheetml/2010/11/main" uri="{2F2917AC-EB37-4324-AD4E-5DD8C200BD13}">
      <x15:tableSlicerCache tableId="1" column="8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есяц1" sourceName="Месяц">
  <extLst>
    <x:ext xmlns:x15="http://schemas.microsoft.com/office/spreadsheetml/2010/11/main" uri="{2F2917AC-EB37-4324-AD4E-5DD8C200BD13}">
      <x15:tableSlicerCache tableId="1" column="15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Морское_Судно" sourceName="Морское Судно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Дата__составления__B\L_Морского_Судна" sourceName="Дата  составления  B\L Морского Судна">
  <extLst>
    <x:ext xmlns:x15="http://schemas.microsoft.com/office/spreadsheetml/2010/11/main" uri="{2F2917AC-EB37-4324-AD4E-5DD8C200BD13}">
      <x15:tableSlicerCache tableId="2" column="5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орт__погрузки" sourceName="Порт  погрузки  ">
  <extLst>
    <x:ext xmlns:x15="http://schemas.microsoft.com/office/spreadsheetml/2010/11/main" uri="{2F2917AC-EB37-4324-AD4E-5DD8C200BD13}">
      <x15:tableSlicerCache tableId="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татус Рейсового  задания  " cache="Срез_Статус_Рейсового__задания" caption="Статус Рейсового  задания  " columnCount="2" rowHeight="241300"/>
  <slicer name="Год 1" cache="Срез_Год1" caption="Год" columnCount="2" rowHeight="234950"/>
  <slicer name="Месяц 1" cache="Срез_Месяц1" caption="Месяц" columnCount="2" rowHeight="234950"/>
  <slicer name="Порт  погрузки  " cache="Срез_Порт__погрузки" caption="Порт  погрузки  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Морское Судно" cache="Срез_Морское_Судно" caption="Морское Судно" rowHeight="241300"/>
  <slicer name="Дата  составления  B\L Морского Судна" cache="Срез_Дата__составления__B\L_Морского_Судна" caption="Дата  составления  B\L Морского Судна" columnCount="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Морское Судно 1" cache="Срез_Морское_Судно1" caption="Морское Судно" level="1" rowHeight="241300"/>
  <slicer name="Дата B\L Моряка " cache="Срез_Дата__составления__B\L_Морского_Судна1" caption="Дата B\L Моряка" level="1" rowHeight="241300"/>
  <slicer name="Речное судно " cache="Срез_ТХ" caption="Речное судно " level="1" rowHeight="241300"/>
  <slicer name="Вес по  B\L речника" cache="Срез_Вес_по__B\L" caption="Вес по  B\L речника" startItem="9" level="1" rowHeight="241300"/>
  <slicer name="Дата  составления  B\L речника" cache="Срез_Дата__составления__B\L" caption="Дата  составления  B\L речника" level="1" rowHeight="241300"/>
  <slicer name="месяц 2" cache="Срез_месяц2" caption="месяц" columnCount="3" level="1" rowHeight="241300"/>
  <slicer name="Произв.Неделя" cache="Срез_Произв.Неделя" caption="Произв.Неделя" columnCount="3" level="1" rowHeight="241300"/>
  <slicer name="Накопитель" cache="Срез_Накопитель1" caption="Накопитель" columnCount="3" level="1" rowHeight="241300"/>
  <slicer name="Операция" cache="Срез_Операция" caption="Операция" level="1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Год" cache="Срез_Год" caption="Год" columnCount="2" rowHeight="144000"/>
  <slicer name="Месяц" cache="Срез_Месяц" caption="Месяц" columnCount="3" rowHeight="241300"/>
  <slicer name="Неделя" cache="Срез_Неделя" caption="Неделя" columnCount="6" rowHeight="241300"/>
  <slicer name="Порт  погрузки   1" cache="Срез_Порт__погрузки1" caption="Порт  погрузки  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Год 2" cache="Срез_Год2" caption="Год" columnCount="2" rowHeight="144000"/>
  <slicer name="Месяц 3" cache="Срез_Месяц3" caption="Месяц" columnCount="3" rowHeight="241300"/>
  <slicer name="Неделя 1" cache="Срез_Неделя1" caption="Неделя" columnCount="6" rowHeight="241300"/>
  <slicer name="Порт  погрузки   2" cache="Срез_Порт__погрузки11" caption="Порт  погрузки  " rowHeight="241300"/>
</slicers>
</file>

<file path=xl/tables/table1.xml><?xml version="1.0" encoding="utf-8"?>
<table xmlns="http://schemas.openxmlformats.org/spreadsheetml/2006/main" id="1" name="Таблица1" displayName="Таблица1" ref="B7:U125" totalsRowShown="0" headerRowDxfId="2964" headerRowBorderDxfId="2963" tableBorderDxfId="2962" totalsRowBorderDxfId="2961">
  <autoFilter ref="B7:U125"/>
  <sortState ref="B8:U123">
    <sortCondition ref="K7:K101"/>
  </sortState>
  <tableColumns count="20">
    <tableColumn id="1" name="ТХ " dataDxfId="2960"/>
    <tableColumn id="2" name="Порт  погрузки  " dataDxfId="2959"/>
    <tableColumn id="18" name="Операция" dataDxfId="2958"/>
    <tableColumn id="17" name="Статус Рейсового  задания  " dataDxfId="2957"/>
    <tableColumn id="5" name="Вес  к  погрузке  тн" dataDxfId="2956"/>
    <tableColumn id="12" name="Вес по  B\L" dataDxfId="2955"/>
    <tableColumn id="14" name="NOR погрузка" dataDxfId="2954"/>
    <tableColumn id="9" name="Дата  начала  грузовых операций  " dataDxfId="2953"/>
    <tableColumn id="10" name="Дата  окончания грузовых операций  " dataDxfId="2952"/>
    <tableColumn id="11" name="Дата  составления  B\L" dataDxfId="2951"/>
    <tableColumn id="3" name="План  отгрузки   " dataDxfId="2950"/>
    <tableColumn id="21" name="Отправитель   " dataDxfId="2949"/>
    <tableColumn id="4" name="Сюрвеер  " dataDxfId="2948"/>
    <tableColumn id="6" name="Вес  на  борту   до  начала  грузовых операций " dataDxfId="2947"/>
    <tableColumn id="13" name="Вес  на  борту   после  окончания    грузовых операций " dataDxfId="2946">
      <calculatedColumnFormula>Таблица1[[#This Row],[Вес по  B\L]]+Таблица1[[#This Row],[Вес  на  борту   до  начала  грузовых операций ]]</calculatedColumnFormula>
    </tableColumn>
    <tableColumn id="7" name="Id" dataDxfId="2945">
      <calculatedColumnFormula>CONCATENATE(Таблица1[[#This Row],[ТХ ]],"/",Таблица1[[#This Row],[Дата  составления  B\L]])</calculatedColumnFormula>
    </tableColumn>
    <tableColumn id="8" name="Год" dataDxfId="2944">
      <calculatedColumnFormula>IF(YEAR(Таблица1[[#This Row],[Дата  составления  B\L]])=1900,"Нет Данных",YEAR(Таблица1[[#This Row],[Дата  составления  B\L]]))</calculatedColumnFormula>
    </tableColumn>
    <tableColumn id="15" name="Месяц" dataDxfId="2943">
      <calculatedColumnFormula>IF(TEXT(Таблица1[[#This Row],[Дата  составления  B\L]],"ММММ")=1900,"Нет Данных",TEXT(Таблица1[[#This Row],[Дата  составления  B\L]],"ММММ"))</calculatedColumnFormula>
    </tableColumn>
    <tableColumn id="16" name="Неделя" dataDxfId="2942">
      <calculatedColumnFormula>_xlfn.ISOWEEKNUM(Таблица1[[#This Row],[Дата  составления  B\L]])</calculatedColumnFormula>
    </tableColumn>
    <tableColumn id="19" name="Столбец1" dataDxfId="2941">
      <calculatedColumnFormula>IF(ISBLANK(Таблица1[[#This Row],[Дата  составления  B\L]]),DATE(1900,1,1),Таблица1[[#This Row],[Дата  составления  B\L]])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Таблица6" displayName="Таблица6" ref="K4:P32" totalsRowCount="1" headerRowDxfId="2940" totalsRowDxfId="2937" headerRowBorderDxfId="2939" tableBorderDxfId="2938" totalsRowBorderDxfId="2936">
  <autoFilter ref="K4:P31"/>
  <tableColumns count="6">
    <tableColumn id="1" name="ТХ " totalsRowLabel="Итог" dataDxfId="2935" totalsRowDxfId="2934"/>
    <tableColumn id="2" name="Порт  погрузки  " dataDxfId="2933" totalsRowDxfId="2932"/>
    <tableColumn id="3" name="Вес по  B\L   мт" totalsRowFunction="sum" dataDxfId="2931" totalsRowDxfId="2930"/>
    <tableColumn id="4" name="Дата  составления  B\L" dataDxfId="2929" totalsRowDxfId="2928"/>
    <tableColumn id="6" name="План  отгрузки   " dataDxfId="2927" totalsRowDxfId="2926"/>
    <tableColumn id="7" name="Отправитель   " totalsRowFunction="count" dataDxfId="2925" totalsRowDxfId="292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Таблица16" displayName="Таблица16" ref="A7:M56" totalsRowShown="0" headerRowDxfId="2923" headerRowBorderDxfId="2922" tableBorderDxfId="2921" totalsRowBorderDxfId="2920">
  <autoFilter ref="A7:M56"/>
  <tableColumns count="13">
    <tableColumn id="1" name="ТХ " dataDxfId="2919"/>
    <tableColumn id="18" name="Статус" dataDxfId="2918"/>
    <tableColumn id="8" name="Операция" dataDxfId="2917"/>
    <tableColumn id="12" name="Вес по  B\L" dataDxfId="2916"/>
    <tableColumn id="7" name="Вес  выгруженный в накопитель " dataDxfId="2915"/>
    <tableColumn id="14" name="NOR Разгрузка" dataDxfId="2914"/>
    <tableColumn id="9" name="Дата  начала  грузовых операций  " dataDxfId="2913"/>
    <tableColumn id="10" name="Дата  окончания грузовых операций  " dataDxfId="2912"/>
    <tableColumn id="11" name="Дата  составления  B\L речник" dataDxfId="2911"/>
    <tableColumn id="2" name="Накопитель " dataDxfId="2910"/>
    <tableColumn id="21" name="Отправитель   " dataDxfId="2909"/>
    <tableColumn id="4" name="Id key" dataDxfId="2908">
      <calculatedColumnFormula>CONCATENATE(Таблица16[[#This Row],[ТХ ]],"/",Таблица16[[#This Row],[Дата  составления  B\L речник]])</calculatedColumnFormula>
    </tableColumn>
    <tableColumn id="6" name="Дата направления уведомления " dataDxfId="290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Таблица163" displayName="Таблица163" ref="A7:O60" totalsRowShown="0" headerRowDxfId="2906" headerRowBorderDxfId="2905" tableBorderDxfId="2904" totalsRowBorderDxfId="2903">
  <autoFilter ref="A7:O60"/>
  <tableColumns count="15">
    <tableColumn id="1" name="ТХ " dataDxfId="2902"/>
    <tableColumn id="18" name="Статус" dataDxfId="2901"/>
    <tableColumn id="8" name="Операция" dataDxfId="2900"/>
    <tableColumn id="7" name="Вес  погруженный" dataDxfId="2899"/>
    <tableColumn id="2" name="Накопитель " dataDxfId="2898"/>
    <tableColumn id="9" name="Дата  начала  грузовых операций  " dataDxfId="2897"/>
    <tableColumn id="10" name="Дата  окончания грузовых операций  " dataDxfId="2896"/>
    <tableColumn id="3" name="Морское Судно" dataDxfId="2895"/>
    <tableColumn id="5" name="Дата  составления  B\L Морского Судна" dataDxfId="2894"/>
    <tableColumn id="21" name="Отправитель   " dataDxfId="2893"/>
    <tableColumn id="4" name="Id key" dataDxfId="2892">
      <calculatedColumnFormula>CONCATENATE(Таблица163[[#This Row],[ТХ ]],"/",Таблица163[[#This Row],[Дата  составления  B\L Морского Судна]])</calculatedColumnFormula>
    </tableColumn>
    <tableColumn id="6" name="Дата направления уведомления " dataDxfId="2891"/>
    <tableColumn id="11" name="Произв.Неделя" dataDxfId="2890">
      <calculatedColumnFormula>_xlfn.ISOWEEKNUM(Таблица163[[#This Row],[Дата  составления  B\L Морского Судна]])</calculatedColumnFormula>
    </tableColumn>
    <tableColumn id="12" name="месяц" dataDxfId="2889">
      <calculatedColumnFormula>TEXT(Таблица163[[#This Row],[Дата  составления  B\L Морского Судна]],"МММ")</calculatedColumnFormula>
    </tableColumn>
    <tableColumn id="13" name="год" dataDxfId="2888">
      <calculatedColumnFormula>YEAR(Таблица163[[#This Row],[Дата  составления  B\L Морского Судна]])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microsoft.com/office/2007/relationships/slicer" Target="../slicers/slicer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Relationship Id="rId4" Type="http://schemas.microsoft.com/office/2007/relationships/slicer" Target="../slicers/slicer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L125"/>
  <sheetViews>
    <sheetView zoomScaleNormal="100" workbookViewId="0">
      <pane xSplit="2" ySplit="7" topLeftCell="C110" activePane="bottomRight" state="frozen"/>
      <selection pane="topRight" activeCell="B1" sqref="B1"/>
      <selection pane="bottomLeft" activeCell="A7" sqref="A7"/>
      <selection pane="bottomRight" activeCell="G133" sqref="G133"/>
    </sheetView>
  </sheetViews>
  <sheetFormatPr defaultRowHeight="14.4" x14ac:dyDescent="0.3"/>
  <cols>
    <col min="1" max="1" width="26.88671875" customWidth="1"/>
    <col min="2" max="2" width="31.88671875" customWidth="1"/>
    <col min="3" max="3" width="22.5546875" customWidth="1"/>
    <col min="4" max="4" width="17.6640625" customWidth="1"/>
    <col min="5" max="5" width="38.5546875" style="1" bestFit="1" customWidth="1"/>
    <col min="6" max="6" width="17.44140625" customWidth="1"/>
    <col min="7" max="7" width="16.109375" customWidth="1"/>
    <col min="8" max="8" width="19.109375" customWidth="1"/>
    <col min="9" max="9" width="17.33203125" customWidth="1"/>
    <col min="10" max="10" width="15" customWidth="1"/>
    <col min="11" max="11" width="18" style="1" customWidth="1"/>
    <col min="12" max="12" width="20.33203125" bestFit="1" customWidth="1"/>
    <col min="13" max="13" width="28.44140625" style="42" bestFit="1" customWidth="1"/>
    <col min="14" max="14" width="18" style="42" customWidth="1"/>
    <col min="15" max="15" width="19.33203125" customWidth="1"/>
    <col min="16" max="16" width="30" style="13" customWidth="1"/>
    <col min="17" max="17" width="35.5546875" customWidth="1"/>
    <col min="18" max="18" width="11.88671875" bestFit="1" customWidth="1"/>
    <col min="19" max="19" width="11.5546875" bestFit="1" customWidth="1"/>
    <col min="20" max="20" width="12.5546875" bestFit="1" customWidth="1"/>
    <col min="21" max="21" width="13.5546875" customWidth="1"/>
    <col min="23" max="23" width="18" style="42" customWidth="1"/>
    <col min="24" max="24" width="19.6640625" customWidth="1"/>
    <col min="25" max="25" width="13.6640625" customWidth="1"/>
    <col min="27" max="27" width="17.6640625" style="19" bestFit="1" customWidth="1"/>
    <col min="28" max="28" width="24" style="19" customWidth="1"/>
    <col min="29" max="29" width="17.44140625" style="19" customWidth="1"/>
    <col min="31" max="33" width="17" style="13" customWidth="1"/>
    <col min="34" max="34" width="19.33203125" style="13" customWidth="1"/>
    <col min="35" max="35" width="19.5546875" style="13" customWidth="1"/>
    <col min="36" max="36" width="39" customWidth="1"/>
    <col min="37" max="37" width="22.33203125" customWidth="1"/>
    <col min="38" max="38" width="21.44140625" style="27" customWidth="1"/>
    <col min="39" max="39" width="21.109375" customWidth="1"/>
  </cols>
  <sheetData>
    <row r="1" spans="2:38" x14ac:dyDescent="0.3">
      <c r="D1" s="29"/>
      <c r="E1"/>
      <c r="F1" s="13"/>
      <c r="G1" s="13"/>
      <c r="H1" s="19"/>
      <c r="I1" s="19"/>
      <c r="J1" s="19"/>
      <c r="M1"/>
      <c r="N1"/>
      <c r="O1" s="13"/>
      <c r="Q1" s="13"/>
      <c r="R1" s="42"/>
      <c r="S1" s="42"/>
      <c r="T1" s="42"/>
      <c r="W1"/>
      <c r="AA1"/>
      <c r="AB1"/>
      <c r="AC1"/>
      <c r="AE1"/>
      <c r="AF1"/>
      <c r="AG1"/>
      <c r="AH1"/>
      <c r="AI1"/>
      <c r="AL1"/>
    </row>
    <row r="2" spans="2:38" x14ac:dyDescent="0.3">
      <c r="D2" s="29"/>
      <c r="E2"/>
      <c r="F2" s="13"/>
      <c r="G2" s="13">
        <f>F2-G42</f>
        <v>-2322.904</v>
      </c>
      <c r="H2" s="19"/>
      <c r="I2" s="19"/>
      <c r="J2" s="19"/>
      <c r="M2"/>
      <c r="N2"/>
      <c r="O2" s="13"/>
      <c r="Q2" s="13"/>
      <c r="R2" s="42"/>
      <c r="S2" s="42"/>
      <c r="T2" s="42"/>
      <c r="W2"/>
      <c r="AA2"/>
      <c r="AB2"/>
      <c r="AC2"/>
      <c r="AE2"/>
      <c r="AF2"/>
      <c r="AG2"/>
      <c r="AH2"/>
      <c r="AI2"/>
      <c r="AL2"/>
    </row>
    <row r="3" spans="2:38" x14ac:dyDescent="0.3">
      <c r="D3" s="29"/>
      <c r="E3"/>
      <c r="F3" s="13"/>
      <c r="G3" s="13"/>
      <c r="H3" s="19"/>
      <c r="I3" s="19"/>
      <c r="J3" s="19"/>
      <c r="M3"/>
      <c r="N3"/>
      <c r="O3" s="13"/>
      <c r="Q3" s="13"/>
      <c r="R3" s="42"/>
      <c r="S3" s="42"/>
      <c r="T3" s="42"/>
      <c r="W3"/>
      <c r="AA3"/>
      <c r="AB3"/>
      <c r="AC3"/>
      <c r="AE3"/>
      <c r="AF3"/>
      <c r="AG3"/>
      <c r="AH3"/>
      <c r="AI3"/>
      <c r="AL3"/>
    </row>
    <row r="4" spans="2:38" x14ac:dyDescent="0.3">
      <c r="D4" s="29"/>
      <c r="E4"/>
      <c r="F4" s="13"/>
      <c r="G4" s="13"/>
      <c r="H4" s="19"/>
      <c r="I4" s="19"/>
      <c r="J4" s="19"/>
      <c r="M4"/>
      <c r="N4"/>
      <c r="O4" s="13"/>
      <c r="Q4" s="13"/>
      <c r="R4" s="42"/>
      <c r="S4" s="42"/>
      <c r="T4" s="42"/>
      <c r="W4"/>
      <c r="AA4"/>
      <c r="AB4"/>
      <c r="AC4"/>
      <c r="AE4"/>
      <c r="AF4"/>
      <c r="AG4"/>
      <c r="AH4"/>
      <c r="AI4"/>
      <c r="AL4"/>
    </row>
    <row r="5" spans="2:38" x14ac:dyDescent="0.3">
      <c r="D5" s="29"/>
      <c r="E5"/>
      <c r="F5" s="13"/>
      <c r="G5" s="13"/>
      <c r="H5" s="19"/>
      <c r="I5" s="19"/>
      <c r="J5" s="19"/>
      <c r="M5"/>
      <c r="N5"/>
      <c r="O5" s="13"/>
      <c r="Q5" s="13"/>
      <c r="R5" s="42"/>
      <c r="S5" s="42"/>
      <c r="T5" s="42"/>
      <c r="W5"/>
      <c r="AA5"/>
      <c r="AB5"/>
      <c r="AC5"/>
      <c r="AE5"/>
      <c r="AF5"/>
      <c r="AG5"/>
      <c r="AH5"/>
      <c r="AI5"/>
      <c r="AL5"/>
    </row>
    <row r="6" spans="2:38" ht="34.200000000000003" customHeight="1" x14ac:dyDescent="0.3">
      <c r="D6" s="29"/>
      <c r="E6"/>
      <c r="F6" s="30">
        <f>SUBTOTAL(9,Таблица1[Вес  к  погрузке  тн])</f>
        <v>409532.85</v>
      </c>
      <c r="G6" s="30">
        <f>SUBTOTAL(9,Таблица1[Вес по  B\L])</f>
        <v>380301.10900000005</v>
      </c>
      <c r="H6" s="19"/>
      <c r="I6" s="19"/>
      <c r="J6" s="19"/>
      <c r="M6"/>
      <c r="N6"/>
      <c r="O6" s="13"/>
      <c r="Q6" s="13"/>
      <c r="R6" s="42"/>
      <c r="S6" s="42"/>
      <c r="T6" s="42"/>
      <c r="W6"/>
      <c r="AA6"/>
      <c r="AB6"/>
      <c r="AC6"/>
      <c r="AE6"/>
      <c r="AF6"/>
      <c r="AG6"/>
      <c r="AH6"/>
      <c r="AI6"/>
      <c r="AL6"/>
    </row>
    <row r="7" spans="2:38" ht="43.95" customHeight="1" x14ac:dyDescent="0.3">
      <c r="B7" s="5" t="s">
        <v>0</v>
      </c>
      <c r="C7" s="6" t="s">
        <v>9</v>
      </c>
      <c r="D7" s="6" t="s">
        <v>82</v>
      </c>
      <c r="E7" s="28" t="s">
        <v>37</v>
      </c>
      <c r="F7" s="10" t="s">
        <v>18</v>
      </c>
      <c r="G7" s="10" t="s">
        <v>33</v>
      </c>
      <c r="H7" s="26" t="s">
        <v>36</v>
      </c>
      <c r="I7" s="16" t="s">
        <v>29</v>
      </c>
      <c r="J7" s="16" t="s">
        <v>30</v>
      </c>
      <c r="K7" s="20" t="s">
        <v>31</v>
      </c>
      <c r="L7" s="6" t="s">
        <v>12</v>
      </c>
      <c r="M7" s="6" t="s">
        <v>45</v>
      </c>
      <c r="N7" s="6" t="s">
        <v>11</v>
      </c>
      <c r="O7" s="15" t="s">
        <v>34</v>
      </c>
      <c r="P7" s="23" t="s">
        <v>35</v>
      </c>
      <c r="Q7" s="10" t="s">
        <v>78</v>
      </c>
      <c r="R7" s="43" t="s">
        <v>101</v>
      </c>
      <c r="S7" s="43" t="s">
        <v>102</v>
      </c>
      <c r="T7" s="43" t="s">
        <v>103</v>
      </c>
      <c r="U7" s="6" t="s">
        <v>218</v>
      </c>
      <c r="W7"/>
      <c r="AA7"/>
      <c r="AB7"/>
      <c r="AC7"/>
      <c r="AE7"/>
      <c r="AF7"/>
      <c r="AG7"/>
      <c r="AH7"/>
      <c r="AI7"/>
      <c r="AL7"/>
    </row>
    <row r="8" spans="2:38" x14ac:dyDescent="0.3">
      <c r="B8" s="4" t="s">
        <v>6</v>
      </c>
      <c r="C8" s="3" t="s">
        <v>10</v>
      </c>
      <c r="D8" s="2" t="s">
        <v>39</v>
      </c>
      <c r="E8" s="11" t="s">
        <v>40</v>
      </c>
      <c r="F8" s="11">
        <v>162.85</v>
      </c>
      <c r="G8" s="11">
        <v>162.85</v>
      </c>
      <c r="H8" s="17">
        <v>45948.708333333336</v>
      </c>
      <c r="I8" s="17">
        <v>45948.760416666664</v>
      </c>
      <c r="J8" s="17">
        <v>45948.8125</v>
      </c>
      <c r="K8" s="21">
        <v>45948</v>
      </c>
      <c r="L8" s="2" t="s">
        <v>42</v>
      </c>
      <c r="M8" s="2" t="s">
        <v>46</v>
      </c>
      <c r="N8" s="2" t="s">
        <v>16</v>
      </c>
      <c r="O8" s="11">
        <v>2404.9340000000002</v>
      </c>
      <c r="P8" s="24">
        <f>Таблица1[[#This Row],[Вес по  B\L]]+Таблица1[[#This Row],[Вес  на  борту   до  начала  грузовых операций ]]</f>
        <v>2567.7840000000001</v>
      </c>
      <c r="Q8" s="11" t="str">
        <f>CONCATENATE(Таблица1[[#This Row],[ТХ ]],"/",Таблица1[[#This Row],[Дата  составления  B\L]])</f>
        <v>т/х Дон Стар 6 ИМО 8951396/45948</v>
      </c>
      <c r="R8" s="44">
        <f>IF(YEAR(Таблица1[[#This Row],[Дата  составления  B\L]])=1900,"Нет Данных",YEAR(Таблица1[[#This Row],[Дата  составления  B\L]]))</f>
        <v>2025</v>
      </c>
      <c r="S8" s="44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8" s="44">
        <f>_xlfn.ISOWEEKNUM(Таблица1[[#This Row],[Дата  составления  B\L]])</f>
        <v>42</v>
      </c>
      <c r="U8" s="114">
        <f>IF(ISBLANK(Таблица1[[#This Row],[Дата  составления  B\L]]),DATE(1900,1,1),Таблица1[[#This Row],[Дата  составления  B\L]])</f>
        <v>45948</v>
      </c>
      <c r="W8"/>
      <c r="AA8"/>
      <c r="AB8"/>
      <c r="AC8"/>
      <c r="AE8"/>
      <c r="AF8"/>
      <c r="AG8"/>
      <c r="AH8"/>
      <c r="AI8"/>
      <c r="AL8"/>
    </row>
    <row r="9" spans="2:38" x14ac:dyDescent="0.3">
      <c r="B9" s="4" t="s">
        <v>4</v>
      </c>
      <c r="C9" s="3" t="s">
        <v>19</v>
      </c>
      <c r="D9" s="2" t="s">
        <v>22</v>
      </c>
      <c r="E9" s="11" t="s">
        <v>40</v>
      </c>
      <c r="F9" s="11">
        <v>4000</v>
      </c>
      <c r="G9" s="11">
        <v>4011.556</v>
      </c>
      <c r="H9" s="17">
        <v>45949.71875</v>
      </c>
      <c r="I9" s="17">
        <v>45950.590277777781</v>
      </c>
      <c r="J9" s="17">
        <v>45951.756944444445</v>
      </c>
      <c r="K9" s="21">
        <v>45951</v>
      </c>
      <c r="L9" s="2" t="s">
        <v>21</v>
      </c>
      <c r="M9" s="2" t="s">
        <v>46</v>
      </c>
      <c r="N9" s="2" t="s">
        <v>17</v>
      </c>
      <c r="O9" s="11"/>
      <c r="P9" s="24">
        <f>Таблица1[[#This Row],[Вес по  B\L]]+Таблица1[[#This Row],[Вес  на  борту   до  начала  грузовых операций ]]</f>
        <v>4011.556</v>
      </c>
      <c r="Q9" s="11" t="str">
        <f>CONCATENATE(Таблица1[[#This Row],[ТХ ]],"/",Таблица1[[#This Row],[Дата  составления  B\L]])</f>
        <v>т/х Дон Стар 4 ИМО 7911478/45951</v>
      </c>
      <c r="R9" s="44">
        <f>IF(YEAR(Таблица1[[#This Row],[Дата  составления  B\L]])=1900,"Нет Данных",YEAR(Таблица1[[#This Row],[Дата  составления  B\L]]))</f>
        <v>2025</v>
      </c>
      <c r="S9" s="44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9" s="44">
        <f>_xlfn.ISOWEEKNUM(Таблица1[[#This Row],[Дата  составления  B\L]])</f>
        <v>43</v>
      </c>
      <c r="U9" s="114">
        <f>IF(ISBLANK(Таблица1[[#This Row],[Дата  составления  B\L]]),DATE(1900,1,1),Таблица1[[#This Row],[Дата  составления  B\L]])</f>
        <v>45951</v>
      </c>
      <c r="W9"/>
      <c r="AA9"/>
      <c r="AB9"/>
      <c r="AC9"/>
      <c r="AE9"/>
      <c r="AF9"/>
      <c r="AG9"/>
      <c r="AH9"/>
      <c r="AI9"/>
      <c r="AL9"/>
    </row>
    <row r="10" spans="2:38" x14ac:dyDescent="0.3">
      <c r="B10" s="4" t="s">
        <v>3</v>
      </c>
      <c r="C10" s="3" t="s">
        <v>14</v>
      </c>
      <c r="D10" s="2" t="s">
        <v>22</v>
      </c>
      <c r="E10" s="11" t="s">
        <v>40</v>
      </c>
      <c r="F10" s="11">
        <v>3000</v>
      </c>
      <c r="G10" s="11">
        <v>3001.3359999999998</v>
      </c>
      <c r="H10" s="17">
        <v>45952.583333333336</v>
      </c>
      <c r="I10" s="17">
        <v>45952.708333333336</v>
      </c>
      <c r="J10" s="17">
        <v>45954.319444444445</v>
      </c>
      <c r="K10" s="21">
        <v>45954</v>
      </c>
      <c r="L10" s="2" t="s">
        <v>20</v>
      </c>
      <c r="M10" s="2" t="s">
        <v>46</v>
      </c>
      <c r="N10" s="2" t="s">
        <v>17</v>
      </c>
      <c r="O10" s="11"/>
      <c r="P10" s="24">
        <f>Таблица1[[#This Row],[Вес по  B\L]]+Таблица1[[#This Row],[Вес  на  борту   до  начала  грузовых операций ]]</f>
        <v>3001.3359999999998</v>
      </c>
      <c r="Q10" s="11" t="str">
        <f>CONCATENATE(Таблица1[[#This Row],[ТХ ]],"/",Таблица1[[#This Row],[Дата  составления  B\L]])</f>
        <v>т/х Дон Стар 3 ИМО 7911507/45954</v>
      </c>
      <c r="R10" s="44">
        <f>IF(YEAR(Таблица1[[#This Row],[Дата  составления  B\L]])=1900,"Нет Данных",YEAR(Таблица1[[#This Row],[Дата  составления  B\L]]))</f>
        <v>2025</v>
      </c>
      <c r="S10" s="44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0" s="44">
        <f>_xlfn.ISOWEEKNUM(Таблица1[[#This Row],[Дата  составления  B\L]])</f>
        <v>43</v>
      </c>
      <c r="U10" s="114">
        <f>IF(ISBLANK(Таблица1[[#This Row],[Дата  составления  B\L]]),DATE(1900,1,1),Таблица1[[#This Row],[Дата  составления  B\L]])</f>
        <v>45954</v>
      </c>
      <c r="W10"/>
      <c r="AA10"/>
      <c r="AB10"/>
      <c r="AC10"/>
      <c r="AE10"/>
      <c r="AF10"/>
      <c r="AG10"/>
      <c r="AH10"/>
      <c r="AI10"/>
      <c r="AL10"/>
    </row>
    <row r="11" spans="2:38" x14ac:dyDescent="0.3">
      <c r="B11" s="7" t="s">
        <v>8</v>
      </c>
      <c r="C11" s="8" t="s">
        <v>14</v>
      </c>
      <c r="D11" s="2" t="s">
        <v>22</v>
      </c>
      <c r="E11" s="11" t="s">
        <v>40</v>
      </c>
      <c r="F11" s="12">
        <v>1500</v>
      </c>
      <c r="G11" s="12">
        <v>1457.1780000000001</v>
      </c>
      <c r="H11" s="17">
        <v>45956.909722222219</v>
      </c>
      <c r="I11" s="18">
        <v>45957.458333333336</v>
      </c>
      <c r="J11" s="18">
        <v>45958.920138888891</v>
      </c>
      <c r="K11" s="22">
        <v>45956</v>
      </c>
      <c r="L11" s="9" t="s">
        <v>20</v>
      </c>
      <c r="M11" s="2" t="s">
        <v>46</v>
      </c>
      <c r="N11" s="9" t="s">
        <v>17</v>
      </c>
      <c r="O11" s="12"/>
      <c r="P11" s="25">
        <f>Таблица1[[#This Row],[Вес по  B\L]]+Таблица1[[#This Row],[Вес  на  борту   до  начала  грузовых операций ]]</f>
        <v>1457.1780000000001</v>
      </c>
      <c r="Q11" s="11" t="str">
        <f>CONCATENATE(Таблица1[[#This Row],[ТХ ]],"/",Таблица1[[#This Row],[Дата  составления  B\L]])</f>
        <v>т/х Дон Стар 8 ИМО 8884957/45956</v>
      </c>
      <c r="R11" s="45">
        <f>IF(YEAR(Таблица1[[#This Row],[Дата  составления  B\L]])=1900,"Нет Данных",YEAR(Таблица1[[#This Row],[Дата  составления  B\L]]))</f>
        <v>2025</v>
      </c>
      <c r="S11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1" s="45">
        <f>_xlfn.ISOWEEKNUM(Таблица1[[#This Row],[Дата  составления  B\L]])</f>
        <v>43</v>
      </c>
      <c r="U11" s="114">
        <f>IF(ISBLANK(Таблица1[[#This Row],[Дата  составления  B\L]]),DATE(1900,1,1),Таблица1[[#This Row],[Дата  составления  B\L]])</f>
        <v>45956</v>
      </c>
      <c r="W11"/>
      <c r="AA11"/>
      <c r="AB11"/>
      <c r="AC11"/>
      <c r="AE11"/>
      <c r="AF11"/>
      <c r="AG11"/>
      <c r="AH11"/>
      <c r="AI11"/>
      <c r="AL11"/>
    </row>
    <row r="12" spans="2:38" ht="28.8" x14ac:dyDescent="0.3">
      <c r="B12" s="14" t="s">
        <v>15</v>
      </c>
      <c r="C12" s="8" t="s">
        <v>13</v>
      </c>
      <c r="D12" s="2" t="s">
        <v>22</v>
      </c>
      <c r="E12" s="11" t="s">
        <v>40</v>
      </c>
      <c r="F12" s="12">
        <v>3750</v>
      </c>
      <c r="G12" s="12">
        <v>3757.69</v>
      </c>
      <c r="H12" s="18">
        <v>45950.895833333336</v>
      </c>
      <c r="I12" s="18">
        <v>45951.006944444445</v>
      </c>
      <c r="J12" s="18">
        <v>45951.090277777781</v>
      </c>
      <c r="K12" s="22">
        <v>45952</v>
      </c>
      <c r="L12" s="9" t="s">
        <v>42</v>
      </c>
      <c r="M12" s="2" t="s">
        <v>46</v>
      </c>
      <c r="N12" s="9" t="s">
        <v>16</v>
      </c>
      <c r="O12" s="12"/>
      <c r="P12" s="25">
        <f>Таблица1[[#This Row],[Вес по  B\L]]+Таблица1[[#This Row],[Вес  на  борту   до  начала  грузовых операций ]]</f>
        <v>3757.69</v>
      </c>
      <c r="Q12" s="11" t="str">
        <f>CONCATENATE(Таблица1[[#This Row],[ТХ ]],"/",Таблица1[[#This Row],[Дата  составления  B\L]])</f>
        <v>т/х Герой И.И.Петров//нб Балтис ИМО  2186884/45952</v>
      </c>
      <c r="R12" s="45">
        <f>IF(YEAR(Таблица1[[#This Row],[Дата  составления  B\L]])=1900,"Нет Данных",YEAR(Таблица1[[#This Row],[Дата  составления  B\L]]))</f>
        <v>2025</v>
      </c>
      <c r="S12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2" s="45">
        <f>_xlfn.ISOWEEKNUM(Таблица1[[#This Row],[Дата  составления  B\L]])</f>
        <v>43</v>
      </c>
      <c r="U12" s="114">
        <f>IF(ISBLANK(Таблица1[[#This Row],[Дата  составления  B\L]]),DATE(1900,1,1),Таблица1[[#This Row],[Дата  составления  B\L]])</f>
        <v>45952</v>
      </c>
      <c r="W12"/>
      <c r="AA12"/>
      <c r="AB12"/>
      <c r="AC12"/>
      <c r="AE12"/>
      <c r="AF12"/>
      <c r="AG12"/>
      <c r="AH12"/>
      <c r="AI12"/>
      <c r="AL12"/>
    </row>
    <row r="13" spans="2:38" x14ac:dyDescent="0.3">
      <c r="B13" s="7" t="s">
        <v>23</v>
      </c>
      <c r="C13" s="8" t="s">
        <v>207</v>
      </c>
      <c r="D13" s="2" t="s">
        <v>22</v>
      </c>
      <c r="E13" s="11" t="s">
        <v>40</v>
      </c>
      <c r="F13" s="12">
        <v>4800</v>
      </c>
      <c r="G13" s="12">
        <v>4779.5</v>
      </c>
      <c r="H13" s="18">
        <v>45944.3125</v>
      </c>
      <c r="I13" s="18">
        <v>45945.888888888891</v>
      </c>
      <c r="J13" s="18">
        <v>45948.173611111109</v>
      </c>
      <c r="K13" s="22">
        <v>45948</v>
      </c>
      <c r="L13" s="9" t="s">
        <v>21</v>
      </c>
      <c r="M13" s="2" t="s">
        <v>46</v>
      </c>
      <c r="N13" s="9" t="s">
        <v>16</v>
      </c>
      <c r="O13" s="12"/>
      <c r="P13" s="25">
        <f>Таблица1[[#This Row],[Вес по  B\L]]+Таблица1[[#This Row],[Вес  на  борту   до  начала  грузовых операций ]]</f>
        <v>4779.5</v>
      </c>
      <c r="Q13" s="11" t="str">
        <f>CONCATENATE(Таблица1[[#This Row],[ТХ ]],"/",Таблица1[[#This Row],[Дата  составления  B\L]])</f>
        <v>Волго-Дон 5079 ИМО 8852784/45948</v>
      </c>
      <c r="R13" s="45">
        <f>IF(YEAR(Таблица1[[#This Row],[Дата  составления  B\L]])=1900,"Нет Данных",YEAR(Таблица1[[#This Row],[Дата  составления  B\L]]))</f>
        <v>2025</v>
      </c>
      <c r="S13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3" s="45">
        <f>_xlfn.ISOWEEKNUM(Таблица1[[#This Row],[Дата  составления  B\L]])</f>
        <v>42</v>
      </c>
      <c r="U13" s="114">
        <f>IF(ISBLANK(Таблица1[[#This Row],[Дата  составления  B\L]]),DATE(1900,1,1),Таблица1[[#This Row],[Дата  составления  B\L]])</f>
        <v>45948</v>
      </c>
      <c r="W13"/>
      <c r="AA13"/>
      <c r="AB13"/>
      <c r="AC13"/>
      <c r="AE13"/>
      <c r="AF13"/>
      <c r="AG13"/>
      <c r="AH13"/>
      <c r="AI13"/>
      <c r="AL13"/>
    </row>
    <row r="14" spans="2:38" x14ac:dyDescent="0.3">
      <c r="B14" s="7" t="s">
        <v>6</v>
      </c>
      <c r="C14" s="8" t="s">
        <v>32</v>
      </c>
      <c r="D14" s="2" t="s">
        <v>38</v>
      </c>
      <c r="E14" s="11" t="s">
        <v>40</v>
      </c>
      <c r="F14" s="12">
        <v>600</v>
      </c>
      <c r="G14" s="12">
        <v>596.23900000000003</v>
      </c>
      <c r="H14" s="18">
        <v>45949.6875</v>
      </c>
      <c r="I14" s="18">
        <v>45949.729166666664</v>
      </c>
      <c r="J14" s="18">
        <v>45950.159722222219</v>
      </c>
      <c r="K14" s="22">
        <v>45950</v>
      </c>
      <c r="L14" s="9" t="s">
        <v>42</v>
      </c>
      <c r="M14" s="2" t="s">
        <v>46</v>
      </c>
      <c r="N14" s="9" t="s">
        <v>16</v>
      </c>
      <c r="O14" s="12">
        <v>2567.7840000000001</v>
      </c>
      <c r="P14" s="25">
        <f>Таблица1[[#This Row],[Вес по  B\L]]+Таблица1[[#This Row],[Вес  на  борту   до  начала  грузовых операций ]]</f>
        <v>3164.0230000000001</v>
      </c>
      <c r="Q14" s="11" t="str">
        <f>CONCATENATE(Таблица1[[#This Row],[ТХ ]],"/",Таблица1[[#This Row],[Дата  составления  B\L]])</f>
        <v>т/х Дон Стар 6 ИМО 8951396/45950</v>
      </c>
      <c r="R14" s="45">
        <f>IF(YEAR(Таблица1[[#This Row],[Дата  составления  B\L]])=1900,"Нет Данных",YEAR(Таблица1[[#This Row],[Дата  составления  B\L]]))</f>
        <v>2025</v>
      </c>
      <c r="S14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4" s="45">
        <f>_xlfn.ISOWEEKNUM(Таблица1[[#This Row],[Дата  составления  B\L]])</f>
        <v>43</v>
      </c>
      <c r="U14" s="114">
        <f>IF(ISBLANK(Таблица1[[#This Row],[Дата  составления  B\L]]),DATE(1900,1,1),Таблица1[[#This Row],[Дата  составления  B\L]])</f>
        <v>45950</v>
      </c>
      <c r="W14"/>
      <c r="AA14"/>
      <c r="AB14"/>
      <c r="AC14"/>
      <c r="AE14"/>
      <c r="AF14"/>
      <c r="AG14"/>
      <c r="AH14"/>
      <c r="AI14"/>
      <c r="AL14"/>
    </row>
    <row r="15" spans="2:38" x14ac:dyDescent="0.3">
      <c r="B15" s="7" t="s">
        <v>1</v>
      </c>
      <c r="C15" s="8" t="s">
        <v>13</v>
      </c>
      <c r="D15" s="2" t="s">
        <v>22</v>
      </c>
      <c r="E15" s="11" t="s">
        <v>40</v>
      </c>
      <c r="F15" s="12">
        <v>3300</v>
      </c>
      <c r="G15" s="12">
        <v>3221.4090000000001</v>
      </c>
      <c r="H15" s="18">
        <v>45952.5625</v>
      </c>
      <c r="I15" s="18">
        <v>45953.010416666664</v>
      </c>
      <c r="J15" s="18">
        <v>45953.913194444445</v>
      </c>
      <c r="K15" s="22">
        <v>45953</v>
      </c>
      <c r="L15" s="9" t="s">
        <v>42</v>
      </c>
      <c r="M15" s="2" t="s">
        <v>46</v>
      </c>
      <c r="N15" s="9" t="s">
        <v>17</v>
      </c>
      <c r="O15" s="12"/>
      <c r="P15" s="25">
        <f>Таблица1[[#This Row],[Вес по  B\L]]+Таблица1[[#This Row],[Вес  на  борту   до  начала  грузовых операций ]]</f>
        <v>3221.4090000000001</v>
      </c>
      <c r="Q15" s="11" t="str">
        <f>CONCATENATE(Таблица1[[#This Row],[ТХ ]],"/",Таблица1[[#This Row],[Дата  составления  B\L]])</f>
        <v>т/х Дон Стар 1 ИМО 8866735/45953</v>
      </c>
      <c r="R15" s="45">
        <f>IF(YEAR(Таблица1[[#This Row],[Дата  составления  B\L]])=1900,"Нет Данных",YEAR(Таблица1[[#This Row],[Дата  составления  B\L]]))</f>
        <v>2025</v>
      </c>
      <c r="S15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5" s="45">
        <f>_xlfn.ISOWEEKNUM(Таблица1[[#This Row],[Дата  составления  B\L]])</f>
        <v>43</v>
      </c>
      <c r="U15" s="114">
        <f>IF(ISBLANK(Таблица1[[#This Row],[Дата  составления  B\L]]),DATE(1900,1,1),Таблица1[[#This Row],[Дата  составления  B\L]])</f>
        <v>45953</v>
      </c>
      <c r="W15"/>
      <c r="AA15"/>
      <c r="AB15"/>
      <c r="AC15"/>
      <c r="AE15"/>
      <c r="AF15"/>
      <c r="AG15"/>
      <c r="AH15"/>
      <c r="AI15"/>
      <c r="AL15"/>
    </row>
    <row r="16" spans="2:38" x14ac:dyDescent="0.3">
      <c r="B16" s="7" t="s">
        <v>5</v>
      </c>
      <c r="C16" s="8" t="s">
        <v>32</v>
      </c>
      <c r="D16" s="2" t="s">
        <v>22</v>
      </c>
      <c r="E16" s="11" t="s">
        <v>40</v>
      </c>
      <c r="F16" s="12">
        <v>3300</v>
      </c>
      <c r="G16" s="12">
        <v>3237.9059999999999</v>
      </c>
      <c r="H16" s="18">
        <v>45951.243055555555</v>
      </c>
      <c r="I16" s="18">
        <v>45952.048611111109</v>
      </c>
      <c r="J16" s="18">
        <v>45952.9375</v>
      </c>
      <c r="K16" s="22">
        <v>45952</v>
      </c>
      <c r="L16" s="9" t="s">
        <v>42</v>
      </c>
      <c r="M16" s="2" t="s">
        <v>46</v>
      </c>
      <c r="N16" s="9" t="s">
        <v>17</v>
      </c>
      <c r="O16" s="12"/>
      <c r="P16" s="25">
        <f>Таблица1[[#This Row],[Вес по  B\L]]+Таблица1[[#This Row],[Вес  на  борту   до  начала  грузовых операций ]]</f>
        <v>3237.9059999999999</v>
      </c>
      <c r="Q16" s="11" t="str">
        <f>CONCATENATE(Таблица1[[#This Row],[ТХ ]],"/",Таблица1[[#This Row],[Дата  составления  B\L]])</f>
        <v>т/х Дон Стар 5 ИМО 8955469/45952</v>
      </c>
      <c r="R16" s="45">
        <f>IF(YEAR(Таблица1[[#This Row],[Дата  составления  B\L]])=1900,"Нет Данных",YEAR(Таблица1[[#This Row],[Дата  составления  B\L]]))</f>
        <v>2025</v>
      </c>
      <c r="S16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6" s="45">
        <f>_xlfn.ISOWEEKNUM(Таблица1[[#This Row],[Дата  составления  B\L]])</f>
        <v>43</v>
      </c>
      <c r="U16" s="114">
        <f>IF(ISBLANK(Таблица1[[#This Row],[Дата  составления  B\L]]),DATE(1900,1,1),Таблица1[[#This Row],[Дата  составления  B\L]])</f>
        <v>45952</v>
      </c>
      <c r="W16"/>
      <c r="AA16"/>
      <c r="AB16"/>
      <c r="AC16"/>
      <c r="AE16"/>
      <c r="AF16"/>
      <c r="AG16"/>
      <c r="AH16"/>
      <c r="AI16"/>
      <c r="AL16"/>
    </row>
    <row r="17" spans="2:38" x14ac:dyDescent="0.3">
      <c r="B17" s="7" t="s">
        <v>6</v>
      </c>
      <c r="C17" s="8" t="s">
        <v>10</v>
      </c>
      <c r="D17" s="9" t="s">
        <v>22</v>
      </c>
      <c r="E17" s="12" t="s">
        <v>40</v>
      </c>
      <c r="F17" s="12">
        <v>2500</v>
      </c>
      <c r="G17" s="12">
        <v>2404.9340000000002</v>
      </c>
      <c r="H17" s="18">
        <v>45945.875</v>
      </c>
      <c r="I17" s="18">
        <v>45945.916666666664</v>
      </c>
      <c r="J17" s="18">
        <v>45946.833333333336</v>
      </c>
      <c r="K17" s="22">
        <v>45946</v>
      </c>
      <c r="L17" s="9" t="s">
        <v>42</v>
      </c>
      <c r="M17" s="2" t="s">
        <v>46</v>
      </c>
      <c r="N17" s="9" t="s">
        <v>16</v>
      </c>
      <c r="O17" s="12"/>
      <c r="P17" s="25">
        <f>Таблица1[[#This Row],[Вес по  B\L]]+Таблица1[[#This Row],[Вес  на  борту   до  начала  грузовых операций ]]</f>
        <v>2404.9340000000002</v>
      </c>
      <c r="Q17" s="11" t="str">
        <f>CONCATENATE(Таблица1[[#This Row],[ТХ ]],"/",Таблица1[[#This Row],[Дата  составления  B\L]])</f>
        <v>т/х Дон Стар 6 ИМО 8951396/45946</v>
      </c>
      <c r="R17" s="45">
        <f>IF(YEAR(Таблица1[[#This Row],[Дата  составления  B\L]])=1900,"Нет Данных",YEAR(Таблица1[[#This Row],[Дата  составления  B\L]]))</f>
        <v>2025</v>
      </c>
      <c r="S17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7" s="45">
        <f>_xlfn.ISOWEEKNUM(Таблица1[[#This Row],[Дата  составления  B\L]])</f>
        <v>42</v>
      </c>
      <c r="U17" s="114">
        <f>IF(ISBLANK(Таблица1[[#This Row],[Дата  составления  B\L]]),DATE(1900,1,1),Таблица1[[#This Row],[Дата  составления  B\L]])</f>
        <v>45946</v>
      </c>
      <c r="W17"/>
      <c r="AA17"/>
      <c r="AB17"/>
      <c r="AC17"/>
      <c r="AE17"/>
      <c r="AF17"/>
      <c r="AG17"/>
      <c r="AH17"/>
      <c r="AI17"/>
      <c r="AL17"/>
    </row>
    <row r="18" spans="2:38" x14ac:dyDescent="0.3">
      <c r="B18" s="7" t="s">
        <v>23</v>
      </c>
      <c r="C18" s="8" t="s">
        <v>41</v>
      </c>
      <c r="D18" s="9" t="s">
        <v>22</v>
      </c>
      <c r="E18" s="12" t="s">
        <v>40</v>
      </c>
      <c r="F18" s="12">
        <v>4750</v>
      </c>
      <c r="G18" s="12">
        <v>4779.2160000000003</v>
      </c>
      <c r="H18" s="18"/>
      <c r="I18" s="18">
        <v>45954.78125</v>
      </c>
      <c r="J18" s="18">
        <v>45956.368055555555</v>
      </c>
      <c r="K18" s="22">
        <v>45956</v>
      </c>
      <c r="L18" s="9" t="s">
        <v>42</v>
      </c>
      <c r="M18" s="2" t="s">
        <v>46</v>
      </c>
      <c r="N18" s="9" t="s">
        <v>17</v>
      </c>
      <c r="O18" s="12"/>
      <c r="P18" s="25">
        <f>Таблица1[[#This Row],[Вес по  B\L]]+Таблица1[[#This Row],[Вес  на  борту   до  начала  грузовых операций ]]</f>
        <v>4779.2160000000003</v>
      </c>
      <c r="Q18" s="11" t="str">
        <f>CONCATENATE(Таблица1[[#This Row],[ТХ ]],"/",Таблица1[[#This Row],[Дата  составления  B\L]])</f>
        <v>Волго-Дон 5079 ИМО 8852784/45956</v>
      </c>
      <c r="R18" s="45">
        <f>IF(YEAR(Таблица1[[#This Row],[Дата  составления  B\L]])=1900,"Нет Данных",YEAR(Таблица1[[#This Row],[Дата  составления  B\L]]))</f>
        <v>2025</v>
      </c>
      <c r="S18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8" s="45">
        <f>_xlfn.ISOWEEKNUM(Таблица1[[#This Row],[Дата  составления  B\L]])</f>
        <v>43</v>
      </c>
      <c r="U18" s="114">
        <f>IF(ISBLANK(Таблица1[[#This Row],[Дата  составления  B\L]]),DATE(1900,1,1),Таблица1[[#This Row],[Дата  составления  B\L]])</f>
        <v>45956</v>
      </c>
      <c r="W18"/>
      <c r="AA18"/>
      <c r="AB18"/>
      <c r="AC18"/>
      <c r="AE18"/>
      <c r="AF18"/>
      <c r="AG18"/>
      <c r="AH18"/>
      <c r="AI18"/>
      <c r="AL18"/>
    </row>
    <row r="19" spans="2:38" x14ac:dyDescent="0.3">
      <c r="B19" s="7" t="s">
        <v>6</v>
      </c>
      <c r="C19" s="8" t="s">
        <v>41</v>
      </c>
      <c r="D19" s="9" t="s">
        <v>22</v>
      </c>
      <c r="E19" s="12" t="s">
        <v>40</v>
      </c>
      <c r="F19" s="12">
        <v>3300</v>
      </c>
      <c r="G19" s="12">
        <v>3112.4859999999999</v>
      </c>
      <c r="H19" s="18">
        <v>45954.565972222219</v>
      </c>
      <c r="I19" s="18">
        <v>45956.694444444445</v>
      </c>
      <c r="J19" s="18">
        <v>45957.4375</v>
      </c>
      <c r="K19" s="22">
        <v>45957</v>
      </c>
      <c r="L19" s="9" t="s">
        <v>42</v>
      </c>
      <c r="M19" s="2" t="s">
        <v>46</v>
      </c>
      <c r="N19" s="9" t="s">
        <v>17</v>
      </c>
      <c r="O19" s="12"/>
      <c r="P19" s="25">
        <f>Таблица1[[#This Row],[Вес по  B\L]]+Таблица1[[#This Row],[Вес  на  борту   до  начала  грузовых операций ]]</f>
        <v>3112.4859999999999</v>
      </c>
      <c r="Q19" s="11" t="str">
        <f>CONCATENATE(Таблица1[[#This Row],[ТХ ]],"/",Таблица1[[#This Row],[Дата  составления  B\L]])</f>
        <v>т/х Дон Стар 6 ИМО 8951396/45957</v>
      </c>
      <c r="R19" s="45">
        <f>IF(YEAR(Таблица1[[#This Row],[Дата  составления  B\L]])=1900,"Нет Данных",YEAR(Таблица1[[#This Row],[Дата  составления  B\L]]))</f>
        <v>2025</v>
      </c>
      <c r="S19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19" s="45">
        <f>_xlfn.ISOWEEKNUM(Таблица1[[#This Row],[Дата  составления  B\L]])</f>
        <v>44</v>
      </c>
      <c r="U19" s="114">
        <f>IF(ISBLANK(Таблица1[[#This Row],[Дата  составления  B\L]]),DATE(1900,1,1),Таблица1[[#This Row],[Дата  составления  B\L]])</f>
        <v>45957</v>
      </c>
      <c r="W19"/>
      <c r="AA19"/>
      <c r="AB19"/>
      <c r="AC19"/>
      <c r="AE19"/>
      <c r="AF19"/>
      <c r="AG19"/>
      <c r="AH19"/>
      <c r="AI19"/>
      <c r="AL19"/>
    </row>
    <row r="20" spans="2:38" x14ac:dyDescent="0.3">
      <c r="B20" s="7" t="s">
        <v>3</v>
      </c>
      <c r="C20" s="8" t="s">
        <v>13</v>
      </c>
      <c r="D20" s="9" t="s">
        <v>39</v>
      </c>
      <c r="E20" s="12" t="s">
        <v>40</v>
      </c>
      <c r="F20" s="12">
        <v>1000</v>
      </c>
      <c r="G20" s="12">
        <v>1049.1389999999999</v>
      </c>
      <c r="H20" s="18">
        <v>45956.75</v>
      </c>
      <c r="I20" s="18">
        <v>45957.527777777781</v>
      </c>
      <c r="J20" s="18">
        <v>45957.756944444445</v>
      </c>
      <c r="K20" s="22">
        <v>45957</v>
      </c>
      <c r="L20" s="9" t="s">
        <v>42</v>
      </c>
      <c r="M20" s="2" t="s">
        <v>46</v>
      </c>
      <c r="N20" s="9" t="s">
        <v>17</v>
      </c>
      <c r="O20" s="12">
        <v>3001.3359999999998</v>
      </c>
      <c r="P20" s="25">
        <f>Таблица1[[#This Row],[Вес по  B\L]]+Таблица1[[#This Row],[Вес  на  борту   до  начала  грузовых операций ]]</f>
        <v>4050.4749999999995</v>
      </c>
      <c r="Q20" s="11" t="str">
        <f>CONCATENATE(Таблица1[[#This Row],[ТХ ]],"/",Таблица1[[#This Row],[Дата  составления  B\L]])</f>
        <v>т/х Дон Стар 3 ИМО 7911507/45957</v>
      </c>
      <c r="R20" s="45">
        <f>IF(YEAR(Таблица1[[#This Row],[Дата  составления  B\L]])=1900,"Нет Данных",YEAR(Таблица1[[#This Row],[Дата  составления  B\L]]))</f>
        <v>2025</v>
      </c>
      <c r="S20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20" s="45">
        <f>_xlfn.ISOWEEKNUM(Таблица1[[#This Row],[Дата  составления  B\L]])</f>
        <v>44</v>
      </c>
      <c r="U20" s="114">
        <f>IF(ISBLANK(Таблица1[[#This Row],[Дата  составления  B\L]]),DATE(1900,1,1),Таблица1[[#This Row],[Дата  составления  B\L]])</f>
        <v>45957</v>
      </c>
      <c r="W20"/>
      <c r="AA20"/>
      <c r="AB20"/>
      <c r="AC20"/>
      <c r="AE20"/>
      <c r="AF20"/>
      <c r="AG20"/>
      <c r="AH20"/>
      <c r="AI20"/>
      <c r="AL20"/>
    </row>
    <row r="21" spans="2:38" x14ac:dyDescent="0.3">
      <c r="B21" s="7" t="s">
        <v>7</v>
      </c>
      <c r="C21" s="8" t="s">
        <v>13</v>
      </c>
      <c r="D21" s="3" t="s">
        <v>22</v>
      </c>
      <c r="E21" s="12" t="s">
        <v>40</v>
      </c>
      <c r="F21" s="12">
        <v>3300</v>
      </c>
      <c r="G21" s="12">
        <v>3202.058</v>
      </c>
      <c r="H21" s="18">
        <v>45959.888888888891</v>
      </c>
      <c r="I21" s="32">
        <v>45959.989583333336</v>
      </c>
      <c r="J21" s="18">
        <v>45961.027777777781</v>
      </c>
      <c r="K21" s="22">
        <v>45961</v>
      </c>
      <c r="L21" s="9" t="s">
        <v>48</v>
      </c>
      <c r="M21" s="2" t="s">
        <v>46</v>
      </c>
      <c r="N21" s="9" t="s">
        <v>43</v>
      </c>
      <c r="O21" s="12"/>
      <c r="P21" s="25">
        <f>Таблица1[[#This Row],[Вес по  B\L]]+Таблица1[[#This Row],[Вес  на  борту   до  начала  грузовых операций ]]</f>
        <v>3202.058</v>
      </c>
      <c r="Q21" s="11" t="str">
        <f>CONCATENATE(Таблица1[[#This Row],[ТХ ]],"/",Таблица1[[#This Row],[Дата  составления  B\L]])</f>
        <v>т/х Дон Стар 7 ИМО 8844153/45961</v>
      </c>
      <c r="R21" s="45">
        <f>IF(YEAR(Таблица1[[#This Row],[Дата  составления  B\L]])=1900,"Нет Данных",YEAR(Таблица1[[#This Row],[Дата  составления  B\L]]))</f>
        <v>2025</v>
      </c>
      <c r="S21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21" s="45">
        <f>_xlfn.ISOWEEKNUM(Таблица1[[#This Row],[Дата  составления  B\L]])</f>
        <v>44</v>
      </c>
      <c r="U21" s="114">
        <f>IF(ISBLANK(Таблица1[[#This Row],[Дата  составления  B\L]]),DATE(1900,1,1),Таблица1[[#This Row],[Дата  составления  B\L]])</f>
        <v>45961</v>
      </c>
      <c r="W21"/>
      <c r="AA21"/>
      <c r="AB21"/>
      <c r="AC21"/>
      <c r="AE21"/>
      <c r="AF21"/>
      <c r="AG21"/>
      <c r="AH21"/>
      <c r="AI21"/>
      <c r="AL21"/>
    </row>
    <row r="22" spans="2:38" x14ac:dyDescent="0.3">
      <c r="B22" s="7" t="s">
        <v>5</v>
      </c>
      <c r="C22" s="8" t="s">
        <v>32</v>
      </c>
      <c r="D22" s="3" t="s">
        <v>22</v>
      </c>
      <c r="E22" s="12" t="s">
        <v>40</v>
      </c>
      <c r="F22" s="12">
        <v>3300</v>
      </c>
      <c r="G22" s="12">
        <v>3000.3789999999999</v>
      </c>
      <c r="H22" s="18">
        <v>45961.402777777781</v>
      </c>
      <c r="I22" s="18">
        <v>45962.545138888891</v>
      </c>
      <c r="J22" s="18" t="s">
        <v>99</v>
      </c>
      <c r="K22" s="22">
        <v>45964</v>
      </c>
      <c r="L22" s="9" t="s">
        <v>48</v>
      </c>
      <c r="M22" s="2" t="s">
        <v>46</v>
      </c>
      <c r="N22" s="9" t="s">
        <v>43</v>
      </c>
      <c r="O22" s="12"/>
      <c r="P22" s="25">
        <f>Таблица1[[#This Row],[Вес по  B\L]]+Таблица1[[#This Row],[Вес  на  борту   до  начала  грузовых операций ]]</f>
        <v>3000.3789999999999</v>
      </c>
      <c r="Q22" s="11" t="str">
        <f>CONCATENATE(Таблица1[[#This Row],[ТХ ]],"/",Таблица1[[#This Row],[Дата  составления  B\L]])</f>
        <v>т/х Дон Стар 5 ИМО 8955469/45964</v>
      </c>
      <c r="R22" s="45">
        <f>IF(YEAR(Таблица1[[#This Row],[Дата  составления  B\L]])=1900,"Нет Данных",YEAR(Таблица1[[#This Row],[Дата  составления  B\L]]))</f>
        <v>2025</v>
      </c>
      <c r="S22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2" s="45">
        <f>_xlfn.ISOWEEKNUM(Таблица1[[#This Row],[Дата  составления  B\L]])</f>
        <v>45</v>
      </c>
      <c r="U22" s="114">
        <f>IF(ISBLANK(Таблица1[[#This Row],[Дата  составления  B\L]]),DATE(1900,1,1),Таблица1[[#This Row],[Дата  составления  B\L]])</f>
        <v>45964</v>
      </c>
      <c r="W22"/>
      <c r="AA22"/>
      <c r="AB22"/>
      <c r="AC22"/>
      <c r="AE22"/>
      <c r="AF22"/>
      <c r="AG22"/>
      <c r="AH22"/>
      <c r="AI22"/>
      <c r="AL22"/>
    </row>
    <row r="23" spans="2:38" x14ac:dyDescent="0.3">
      <c r="B23" s="7" t="s">
        <v>4</v>
      </c>
      <c r="C23" s="8" t="s">
        <v>41</v>
      </c>
      <c r="D23" s="3" t="s">
        <v>22</v>
      </c>
      <c r="E23" s="12" t="s">
        <v>40</v>
      </c>
      <c r="F23" s="12">
        <v>4050</v>
      </c>
      <c r="G23" s="12">
        <v>4012.5459999999998</v>
      </c>
      <c r="H23" s="18">
        <v>45959.6875</v>
      </c>
      <c r="I23" s="18">
        <v>45960.767361111109</v>
      </c>
      <c r="J23" s="18">
        <v>45962.079861111109</v>
      </c>
      <c r="K23" s="22">
        <v>45962</v>
      </c>
      <c r="L23" s="9" t="s">
        <v>48</v>
      </c>
      <c r="M23" s="2" t="s">
        <v>46</v>
      </c>
      <c r="N23" s="9" t="s">
        <v>43</v>
      </c>
      <c r="O23" s="12"/>
      <c r="P23" s="25">
        <f>Таблица1[[#This Row],[Вес по  B\L]]+Таблица1[[#This Row],[Вес  на  борту   до  начала  грузовых операций ]]</f>
        <v>4012.5459999999998</v>
      </c>
      <c r="Q23" s="11" t="str">
        <f>CONCATENATE(Таблица1[[#This Row],[ТХ ]],"/",Таблица1[[#This Row],[Дата  составления  B\L]])</f>
        <v>т/х Дон Стар 4 ИМО 7911478/45962</v>
      </c>
      <c r="R23" s="45">
        <f>IF(YEAR(Таблица1[[#This Row],[Дата  составления  B\L]])=1900,"Нет Данных",YEAR(Таблица1[[#This Row],[Дата  составления  B\L]]))</f>
        <v>2025</v>
      </c>
      <c r="S23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3" s="45">
        <f>_xlfn.ISOWEEKNUM(Таблица1[[#This Row],[Дата  составления  B\L]])</f>
        <v>44</v>
      </c>
      <c r="U23" s="114">
        <f>IF(ISBLANK(Таблица1[[#This Row],[Дата  составления  B\L]]),DATE(1900,1,1),Таблица1[[#This Row],[Дата  составления  B\L]])</f>
        <v>45962</v>
      </c>
      <c r="W23"/>
      <c r="AA23"/>
      <c r="AB23"/>
      <c r="AC23"/>
      <c r="AE23"/>
      <c r="AF23"/>
      <c r="AG23"/>
      <c r="AH23"/>
      <c r="AI23"/>
      <c r="AL23"/>
    </row>
    <row r="24" spans="2:38" x14ac:dyDescent="0.3">
      <c r="B24" s="7" t="s">
        <v>8</v>
      </c>
      <c r="C24" s="8" t="s">
        <v>44</v>
      </c>
      <c r="D24" s="8" t="s">
        <v>39</v>
      </c>
      <c r="E24" s="12" t="s">
        <v>40</v>
      </c>
      <c r="F24" s="12">
        <v>1700</v>
      </c>
      <c r="G24" s="12">
        <v>1657.6289999999999</v>
      </c>
      <c r="H24" s="18">
        <v>45960.5</v>
      </c>
      <c r="I24" s="18">
        <v>45960.583333333336</v>
      </c>
      <c r="J24" s="18">
        <v>45960.965277777781</v>
      </c>
      <c r="K24" s="22">
        <v>45960</v>
      </c>
      <c r="L24" s="9" t="s">
        <v>42</v>
      </c>
      <c r="M24" s="2" t="s">
        <v>46</v>
      </c>
      <c r="N24" s="9" t="s">
        <v>17</v>
      </c>
      <c r="O24" s="12">
        <v>1457.1780000000001</v>
      </c>
      <c r="P24" s="25">
        <f>Таблица1[[#This Row],[Вес по  B\L]]+Таблица1[[#This Row],[Вес  на  борту   до  начала  грузовых операций ]]</f>
        <v>3114.8069999999998</v>
      </c>
      <c r="Q24" s="11" t="str">
        <f>CONCATENATE(Таблица1[[#This Row],[ТХ ]],"/",Таблица1[[#This Row],[Дата  составления  B\L]])</f>
        <v>т/х Дон Стар 8 ИМО 8884957/45960</v>
      </c>
      <c r="R24" s="45">
        <f>IF(YEAR(Таблица1[[#This Row],[Дата  составления  B\L]])=1900,"Нет Данных",YEAR(Таблица1[[#This Row],[Дата  составления  B\L]]))</f>
        <v>2025</v>
      </c>
      <c r="S24" s="45" t="str">
        <f>IF(TEXT(Таблица1[[#This Row],[Дата  составления  B\L]],"ММММ")=1900,"Нет Данных",TEXT(Таблица1[[#This Row],[Дата  составления  B\L]],"ММММ"))</f>
        <v>Октябрь</v>
      </c>
      <c r="T24" s="45">
        <f>_xlfn.ISOWEEKNUM(Таблица1[[#This Row],[Дата  составления  B\L]])</f>
        <v>44</v>
      </c>
      <c r="U24" s="114">
        <f>IF(ISBLANK(Таблица1[[#This Row],[Дата  составления  B\L]]),DATE(1900,1,1),Таблица1[[#This Row],[Дата  составления  B\L]])</f>
        <v>45960</v>
      </c>
      <c r="W24"/>
      <c r="AA24"/>
      <c r="AB24"/>
      <c r="AC24"/>
      <c r="AE24"/>
      <c r="AF24"/>
      <c r="AG24"/>
      <c r="AH24"/>
      <c r="AI24"/>
      <c r="AL24"/>
    </row>
    <row r="25" spans="2:38" x14ac:dyDescent="0.3">
      <c r="B25" s="7" t="s">
        <v>1</v>
      </c>
      <c r="C25" s="8" t="s">
        <v>13</v>
      </c>
      <c r="D25" s="8" t="s">
        <v>22</v>
      </c>
      <c r="E25" s="12" t="s">
        <v>40</v>
      </c>
      <c r="F25" s="12">
        <v>3300</v>
      </c>
      <c r="G25" s="12">
        <v>3300.07</v>
      </c>
      <c r="H25" s="18">
        <v>45960.434027777781</v>
      </c>
      <c r="I25" s="18">
        <v>45961.986111111109</v>
      </c>
      <c r="J25" s="18" t="s">
        <v>100</v>
      </c>
      <c r="K25" s="22">
        <v>45963</v>
      </c>
      <c r="L25" s="9" t="s">
        <v>52</v>
      </c>
      <c r="M25" s="2" t="s">
        <v>47</v>
      </c>
      <c r="N25" s="9" t="s">
        <v>43</v>
      </c>
      <c r="O25" s="12"/>
      <c r="P25" s="25">
        <f>Таблица1[[#This Row],[Вес по  B\L]]+Таблица1[[#This Row],[Вес  на  борту   до  начала  грузовых операций ]]</f>
        <v>3300.07</v>
      </c>
      <c r="Q25" s="11" t="str">
        <f>CONCATENATE(Таблица1[[#This Row],[ТХ ]],"/",Таблица1[[#This Row],[Дата  составления  B\L]])</f>
        <v>т/х Дон Стар 1 ИМО 8866735/45963</v>
      </c>
      <c r="R25" s="45">
        <f>IF(YEAR(Таблица1[[#This Row],[Дата  составления  B\L]])=1900,"Нет Данных",YEAR(Таблица1[[#This Row],[Дата  составления  B\L]]))</f>
        <v>2025</v>
      </c>
      <c r="S25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5" s="45">
        <f>_xlfn.ISOWEEKNUM(Таблица1[[#This Row],[Дата  составления  B\L]])</f>
        <v>44</v>
      </c>
      <c r="U25" s="114">
        <f>IF(ISBLANK(Таблица1[[#This Row],[Дата  составления  B\L]]),DATE(1900,1,1),Таблица1[[#This Row],[Дата  составления  B\L]])</f>
        <v>45963</v>
      </c>
      <c r="W25"/>
      <c r="AA25"/>
      <c r="AB25"/>
      <c r="AC25"/>
      <c r="AE25"/>
      <c r="AF25"/>
      <c r="AG25"/>
      <c r="AH25"/>
      <c r="AI25"/>
      <c r="AL25"/>
    </row>
    <row r="26" spans="2:38" x14ac:dyDescent="0.3">
      <c r="B26" s="7" t="s">
        <v>23</v>
      </c>
      <c r="C26" s="8" t="s">
        <v>13</v>
      </c>
      <c r="D26" s="8" t="s">
        <v>22</v>
      </c>
      <c r="E26" s="12" t="s">
        <v>40</v>
      </c>
      <c r="F26" s="12">
        <v>4750</v>
      </c>
      <c r="G26" s="12">
        <v>4781.2579999999998</v>
      </c>
      <c r="H26" s="18">
        <v>45963.548611111109</v>
      </c>
      <c r="I26" s="18">
        <v>45966.576388888891</v>
      </c>
      <c r="J26" s="18">
        <v>45967.979166666664</v>
      </c>
      <c r="K26" s="22">
        <v>45967</v>
      </c>
      <c r="L26" s="9" t="s">
        <v>52</v>
      </c>
      <c r="M26" s="2" t="s">
        <v>47</v>
      </c>
      <c r="N26" s="9" t="s">
        <v>43</v>
      </c>
      <c r="O26" s="12"/>
      <c r="P26" s="25">
        <f>Таблица1[[#This Row],[Вес по  B\L]]+Таблица1[[#This Row],[Вес  на  борту   до  начала  грузовых операций ]]</f>
        <v>4781.2579999999998</v>
      </c>
      <c r="Q26" s="11" t="str">
        <f>CONCATENATE(Таблица1[[#This Row],[ТХ ]],"/",Таблица1[[#This Row],[Дата  составления  B\L]])</f>
        <v>Волго-Дон 5079 ИМО 8852784/45967</v>
      </c>
      <c r="R26" s="45">
        <f>IF(YEAR(Таблица1[[#This Row],[Дата  составления  B\L]])=1900,"Нет Данных",YEAR(Таблица1[[#This Row],[Дата  составления  B\L]]))</f>
        <v>2025</v>
      </c>
      <c r="S26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6" s="45">
        <f>_xlfn.ISOWEEKNUM(Таблица1[[#This Row],[Дата  составления  B\L]])</f>
        <v>45</v>
      </c>
      <c r="U26" s="114">
        <f>IF(ISBLANK(Таблица1[[#This Row],[Дата  составления  B\L]]),DATE(1900,1,1),Таблица1[[#This Row],[Дата  составления  B\L]])</f>
        <v>45967</v>
      </c>
      <c r="W26"/>
      <c r="AA26"/>
      <c r="AB26"/>
      <c r="AC26"/>
      <c r="AE26"/>
      <c r="AF26"/>
      <c r="AG26"/>
      <c r="AH26"/>
      <c r="AI26"/>
      <c r="AL26"/>
    </row>
    <row r="27" spans="2:38" x14ac:dyDescent="0.3">
      <c r="B27" s="7" t="s">
        <v>6</v>
      </c>
      <c r="C27" s="8" t="s">
        <v>49</v>
      </c>
      <c r="D27" s="8" t="s">
        <v>22</v>
      </c>
      <c r="E27" s="12" t="s">
        <v>40</v>
      </c>
      <c r="F27" s="12">
        <v>3300</v>
      </c>
      <c r="G27" s="12">
        <v>3256.3449999999998</v>
      </c>
      <c r="H27" s="18">
        <v>45964.069444444445</v>
      </c>
      <c r="I27" s="18">
        <v>45965.659722222219</v>
      </c>
      <c r="J27" s="18" t="s">
        <v>53</v>
      </c>
      <c r="K27" s="22">
        <v>45966</v>
      </c>
      <c r="L27" s="9" t="s">
        <v>52</v>
      </c>
      <c r="M27" s="2" t="s">
        <v>47</v>
      </c>
      <c r="N27" s="9" t="s">
        <v>43</v>
      </c>
      <c r="O27" s="12"/>
      <c r="P27" s="25">
        <f>Таблица1[[#This Row],[Вес по  B\L]]+Таблица1[[#This Row],[Вес  на  борту   до  начала  грузовых операций ]]</f>
        <v>3256.3449999999998</v>
      </c>
      <c r="Q27" s="11" t="str">
        <f>CONCATENATE(Таблица1[[#This Row],[ТХ ]],"/",Таблица1[[#This Row],[Дата  составления  B\L]])</f>
        <v>т/х Дон Стар 6 ИМО 8951396/45966</v>
      </c>
      <c r="R27" s="45">
        <f>IF(YEAR(Таблица1[[#This Row],[Дата  составления  B\L]])=1900,"Нет Данных",YEAR(Таблица1[[#This Row],[Дата  составления  B\L]]))</f>
        <v>2025</v>
      </c>
      <c r="S27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7" s="45">
        <f>_xlfn.ISOWEEKNUM(Таблица1[[#This Row],[Дата  составления  B\L]])</f>
        <v>45</v>
      </c>
      <c r="U27" s="114">
        <f>IF(ISBLANK(Таблица1[[#This Row],[Дата  составления  B\L]]),DATE(1900,1,1),Таблица1[[#This Row],[Дата  составления  B\L]])</f>
        <v>45966</v>
      </c>
      <c r="W27"/>
      <c r="AA27"/>
      <c r="AB27"/>
      <c r="AC27"/>
      <c r="AE27"/>
      <c r="AF27"/>
      <c r="AG27"/>
      <c r="AH27"/>
      <c r="AI27"/>
      <c r="AL27"/>
    </row>
    <row r="28" spans="2:38" x14ac:dyDescent="0.3">
      <c r="B28" s="7" t="s">
        <v>3</v>
      </c>
      <c r="C28" s="8" t="s">
        <v>13</v>
      </c>
      <c r="D28" s="8" t="s">
        <v>22</v>
      </c>
      <c r="E28" s="12" t="s">
        <v>40</v>
      </c>
      <c r="F28" s="12">
        <v>4050</v>
      </c>
      <c r="G28" s="12">
        <v>4034.03</v>
      </c>
      <c r="H28" s="18">
        <v>45965.763888888891</v>
      </c>
      <c r="I28" s="18">
        <v>45966.784722222219</v>
      </c>
      <c r="J28" s="18">
        <v>45968.145833333336</v>
      </c>
      <c r="K28" s="22">
        <v>45968</v>
      </c>
      <c r="L28" s="9" t="s">
        <v>50</v>
      </c>
      <c r="M28" s="2" t="s">
        <v>47</v>
      </c>
      <c r="N28" s="9" t="s">
        <v>51</v>
      </c>
      <c r="O28" s="12"/>
      <c r="P28" s="25">
        <f>Таблица1[[#This Row],[Вес по  B\L]]+Таблица1[[#This Row],[Вес  на  борту   до  начала  грузовых операций ]]</f>
        <v>4034.03</v>
      </c>
      <c r="Q28" s="11" t="str">
        <f>CONCATENATE(Таблица1[[#This Row],[ТХ ]],"/",Таблица1[[#This Row],[Дата  составления  B\L]])</f>
        <v>т/х Дон Стар 3 ИМО 7911507/45968</v>
      </c>
      <c r="R28" s="45">
        <f>IF(YEAR(Таблица1[[#This Row],[Дата  составления  B\L]])=1900,"Нет Данных",YEAR(Таблица1[[#This Row],[Дата  составления  B\L]]))</f>
        <v>2025</v>
      </c>
      <c r="S28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8" s="45">
        <f>_xlfn.ISOWEEKNUM(Таблица1[[#This Row],[Дата  составления  B\L]])</f>
        <v>45</v>
      </c>
      <c r="U28" s="114">
        <f>IF(ISBLANK(Таблица1[[#This Row],[Дата  составления  B\L]]),DATE(1900,1,1),Таблица1[[#This Row],[Дата  составления  B\L]])</f>
        <v>45968</v>
      </c>
      <c r="W28"/>
      <c r="AA28"/>
      <c r="AB28"/>
      <c r="AC28"/>
      <c r="AE28"/>
      <c r="AF28"/>
      <c r="AG28"/>
      <c r="AH28"/>
      <c r="AI28"/>
      <c r="AL28"/>
    </row>
    <row r="29" spans="2:38" x14ac:dyDescent="0.3">
      <c r="B29" s="7" t="s">
        <v>8</v>
      </c>
      <c r="C29" s="8" t="s">
        <v>13</v>
      </c>
      <c r="D29" s="8" t="s">
        <v>22</v>
      </c>
      <c r="E29" s="12" t="s">
        <v>40</v>
      </c>
      <c r="F29" s="12">
        <v>3300</v>
      </c>
      <c r="G29" s="12">
        <v>3197.1990000000001</v>
      </c>
      <c r="H29" s="18">
        <v>45968.423611111109</v>
      </c>
      <c r="I29" s="18">
        <v>45970.145833333336</v>
      </c>
      <c r="J29" s="18">
        <v>45971.875</v>
      </c>
      <c r="K29" s="22">
        <v>45971</v>
      </c>
      <c r="L29" s="9" t="s">
        <v>52</v>
      </c>
      <c r="M29" s="2" t="s">
        <v>47</v>
      </c>
      <c r="N29" s="9" t="s">
        <v>43</v>
      </c>
      <c r="O29" s="12"/>
      <c r="P29" s="25">
        <f>Таблица1[[#This Row],[Вес по  B\L]]+Таблица1[[#This Row],[Вес  на  борту   до  начала  грузовых операций ]]</f>
        <v>3197.1990000000001</v>
      </c>
      <c r="Q29" s="11" t="str">
        <f>CONCATENATE(Таблица1[[#This Row],[ТХ ]],"/",Таблица1[[#This Row],[Дата  составления  B\L]])</f>
        <v>т/х Дон Стар 8 ИМО 8884957/45971</v>
      </c>
      <c r="R29" s="45">
        <f>IF(YEAR(Таблица1[[#This Row],[Дата  составления  B\L]])=1900,"Нет Данных",YEAR(Таблица1[[#This Row],[Дата  составления  B\L]]))</f>
        <v>2025</v>
      </c>
      <c r="S29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29" s="45">
        <f>_xlfn.ISOWEEKNUM(Таблица1[[#This Row],[Дата  составления  B\L]])</f>
        <v>46</v>
      </c>
      <c r="U29" s="114">
        <f>IF(ISBLANK(Таблица1[[#This Row],[Дата  составления  B\L]]),DATE(1900,1,1),Таблица1[[#This Row],[Дата  составления  B\L]])</f>
        <v>45971</v>
      </c>
      <c r="W29"/>
      <c r="AA29"/>
      <c r="AB29"/>
      <c r="AC29"/>
      <c r="AE29"/>
      <c r="AF29"/>
      <c r="AG29"/>
      <c r="AH29"/>
      <c r="AI29"/>
      <c r="AL29"/>
    </row>
    <row r="30" spans="2:38" x14ac:dyDescent="0.3">
      <c r="B30" s="7" t="s">
        <v>7</v>
      </c>
      <c r="C30" s="8" t="s">
        <v>54</v>
      </c>
      <c r="D30" s="8" t="s">
        <v>22</v>
      </c>
      <c r="E30" s="12" t="s">
        <v>40</v>
      </c>
      <c r="F30" s="12">
        <v>3300</v>
      </c>
      <c r="G30" s="12">
        <v>3259.5410000000002</v>
      </c>
      <c r="H30" s="18">
        <v>45968.375</v>
      </c>
      <c r="I30" s="18">
        <v>45970.479166666664</v>
      </c>
      <c r="J30" s="18">
        <v>45970.923611111109</v>
      </c>
      <c r="K30" s="22">
        <v>45970</v>
      </c>
      <c r="L30" s="9" t="s">
        <v>48</v>
      </c>
      <c r="M30" s="9" t="s">
        <v>46</v>
      </c>
      <c r="N30" s="9" t="s">
        <v>43</v>
      </c>
      <c r="O30" s="12"/>
      <c r="P30" s="25">
        <f>Таблица1[[#This Row],[Вес по  B\L]]+Таблица1[[#This Row],[Вес  на  борту   до  начала  грузовых операций ]]</f>
        <v>3259.5410000000002</v>
      </c>
      <c r="Q30" s="11" t="str">
        <f>CONCATENATE(Таблица1[[#This Row],[ТХ ]],"/",Таблица1[[#This Row],[Дата  составления  B\L]])</f>
        <v>т/х Дон Стар 7 ИМО 8844153/45970</v>
      </c>
      <c r="R30" s="45">
        <f>IF(YEAR(Таблица1[[#This Row],[Дата  составления  B\L]])=1900,"Нет Данных",YEAR(Таблица1[[#This Row],[Дата  составления  B\L]]))</f>
        <v>2025</v>
      </c>
      <c r="S30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0" s="45">
        <f>_xlfn.ISOWEEKNUM(Таблица1[[#This Row],[Дата  составления  B\L]])</f>
        <v>45</v>
      </c>
      <c r="U30" s="114">
        <f>IF(ISBLANK(Таблица1[[#This Row],[Дата  составления  B\L]]),DATE(1900,1,1),Таблица1[[#This Row],[Дата  составления  B\L]])</f>
        <v>45970</v>
      </c>
      <c r="W30"/>
      <c r="AA30"/>
      <c r="AB30"/>
      <c r="AC30"/>
      <c r="AE30"/>
      <c r="AF30"/>
      <c r="AG30"/>
      <c r="AH30"/>
      <c r="AI30"/>
      <c r="AL30"/>
    </row>
    <row r="31" spans="2:38" x14ac:dyDescent="0.3">
      <c r="B31" s="7" t="s">
        <v>4</v>
      </c>
      <c r="C31" s="8" t="s">
        <v>49</v>
      </c>
      <c r="D31" s="8" t="s">
        <v>22</v>
      </c>
      <c r="E31" s="12" t="s">
        <v>40</v>
      </c>
      <c r="F31" s="12">
        <v>4000</v>
      </c>
      <c r="G31" s="12">
        <v>4003.66</v>
      </c>
      <c r="H31" s="18">
        <v>45969.833333333336</v>
      </c>
      <c r="I31" s="18">
        <v>45970.576388888891</v>
      </c>
      <c r="J31" s="18">
        <v>45974.493055555555</v>
      </c>
      <c r="K31" s="22">
        <v>45974</v>
      </c>
      <c r="L31" s="9" t="s">
        <v>52</v>
      </c>
      <c r="M31" s="9" t="s">
        <v>47</v>
      </c>
      <c r="N31" s="9" t="s">
        <v>43</v>
      </c>
      <c r="O31" s="12"/>
      <c r="P31" s="25">
        <f>Таблица1[[#This Row],[Вес по  B\L]]+Таблица1[[#This Row],[Вес  на  борту   до  начала  грузовых операций ]]</f>
        <v>4003.66</v>
      </c>
      <c r="Q31" s="11" t="str">
        <f>CONCATENATE(Таблица1[[#This Row],[ТХ ]],"/",Таблица1[[#This Row],[Дата  составления  B\L]])</f>
        <v>т/х Дон Стар 4 ИМО 7911478/45974</v>
      </c>
      <c r="R31" s="45">
        <f>IF(YEAR(Таблица1[[#This Row],[Дата  составления  B\L]])=1900,"Нет Данных",YEAR(Таблица1[[#This Row],[Дата  составления  B\L]]))</f>
        <v>2025</v>
      </c>
      <c r="S31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1" s="45">
        <f>_xlfn.ISOWEEKNUM(Таблица1[[#This Row],[Дата  составления  B\L]])</f>
        <v>46</v>
      </c>
      <c r="U31" s="114">
        <f>IF(ISBLANK(Таблица1[[#This Row],[Дата  составления  B\L]]),DATE(1900,1,1),Таблица1[[#This Row],[Дата  составления  B\L]])</f>
        <v>45974</v>
      </c>
      <c r="W31"/>
      <c r="AA31"/>
      <c r="AB31"/>
      <c r="AC31"/>
      <c r="AE31"/>
      <c r="AF31"/>
      <c r="AG31"/>
      <c r="AH31"/>
      <c r="AI31"/>
      <c r="AL31"/>
    </row>
    <row r="32" spans="2:38" ht="28.8" x14ac:dyDescent="0.3">
      <c r="B32" s="33" t="s">
        <v>15</v>
      </c>
      <c r="C32" s="8" t="s">
        <v>55</v>
      </c>
      <c r="D32" s="8" t="s">
        <v>22</v>
      </c>
      <c r="E32" s="12" t="s">
        <v>40</v>
      </c>
      <c r="F32" s="12">
        <v>3000</v>
      </c>
      <c r="G32" s="12">
        <v>3046.56</v>
      </c>
      <c r="H32" s="18">
        <v>45967.583333333336</v>
      </c>
      <c r="I32" s="18">
        <v>45967.739583333336</v>
      </c>
      <c r="J32" s="18">
        <v>45969.041666666664</v>
      </c>
      <c r="K32" s="22">
        <v>45969</v>
      </c>
      <c r="L32" s="9" t="s">
        <v>48</v>
      </c>
      <c r="M32" s="9" t="s">
        <v>46</v>
      </c>
      <c r="N32" s="9" t="s">
        <v>43</v>
      </c>
      <c r="O32" s="12"/>
      <c r="P32" s="25">
        <f>Таблица1[[#This Row],[Вес по  B\L]]+Таблица1[[#This Row],[Вес  на  борту   до  начала  грузовых операций ]]</f>
        <v>3046.56</v>
      </c>
      <c r="Q32" s="11" t="str">
        <f>CONCATENATE(Таблица1[[#This Row],[ТХ ]],"/",Таблица1[[#This Row],[Дата  составления  B\L]])</f>
        <v>т/х Герой И.И.Петров//нб Балтис ИМО  2186884/45969</v>
      </c>
      <c r="R32" s="45">
        <f>IF(YEAR(Таблица1[[#This Row],[Дата  составления  B\L]])=1900,"Нет Данных",YEAR(Таблица1[[#This Row],[Дата  составления  B\L]]))</f>
        <v>2025</v>
      </c>
      <c r="S32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2" s="45">
        <f>_xlfn.ISOWEEKNUM(Таблица1[[#This Row],[Дата  составления  B\L]])</f>
        <v>45</v>
      </c>
      <c r="U32" s="114">
        <f>IF(ISBLANK(Таблица1[[#This Row],[Дата  составления  B\L]]),DATE(1900,1,1),Таблица1[[#This Row],[Дата  составления  B\L]])</f>
        <v>45969</v>
      </c>
      <c r="W32"/>
      <c r="AA32"/>
      <c r="AB32"/>
      <c r="AC32"/>
      <c r="AE32"/>
      <c r="AF32"/>
      <c r="AG32"/>
      <c r="AH32"/>
      <c r="AI32"/>
      <c r="AL32"/>
    </row>
    <row r="33" spans="2:38" ht="28.8" x14ac:dyDescent="0.3">
      <c r="B33" s="33" t="s">
        <v>15</v>
      </c>
      <c r="C33" s="8" t="s">
        <v>44</v>
      </c>
      <c r="D33" s="8" t="s">
        <v>39</v>
      </c>
      <c r="E33" s="12" t="s">
        <v>40</v>
      </c>
      <c r="F33" s="12">
        <v>800</v>
      </c>
      <c r="G33" s="12">
        <v>645.53800000000001</v>
      </c>
      <c r="H33" s="18">
        <v>45970.104166666664</v>
      </c>
      <c r="I33" s="18">
        <v>45970.25</v>
      </c>
      <c r="J33" s="18">
        <v>45970.96875</v>
      </c>
      <c r="K33" s="22">
        <v>45970</v>
      </c>
      <c r="L33" s="9" t="s">
        <v>48</v>
      </c>
      <c r="M33" s="9" t="s">
        <v>46</v>
      </c>
      <c r="N33" s="9" t="s">
        <v>43</v>
      </c>
      <c r="O33" s="12">
        <v>3046.56</v>
      </c>
      <c r="P33" s="25">
        <f>Таблица1[[#This Row],[Вес по  B\L]]+Таблица1[[#This Row],[Вес  на  борту   до  начала  грузовых операций ]]</f>
        <v>3692.098</v>
      </c>
      <c r="Q33" s="11" t="str">
        <f>CONCATENATE(Таблица1[[#This Row],[ТХ ]],"/",Таблица1[[#This Row],[Дата  составления  B\L]])</f>
        <v>т/х Герой И.И.Петров//нб Балтис ИМО  2186884/45970</v>
      </c>
      <c r="R33" s="45">
        <f>IF(YEAR(Таблица1[[#This Row],[Дата  составления  B\L]])=1900,"Нет Данных",YEAR(Таблица1[[#This Row],[Дата  составления  B\L]]))</f>
        <v>2025</v>
      </c>
      <c r="S33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3" s="45">
        <f>_xlfn.ISOWEEKNUM(Таблица1[[#This Row],[Дата  составления  B\L]])</f>
        <v>45</v>
      </c>
      <c r="U33" s="114">
        <f>IF(ISBLANK(Таблица1[[#This Row],[Дата  составления  B\L]]),DATE(1900,1,1),Таблица1[[#This Row],[Дата  составления  B\L]])</f>
        <v>45970</v>
      </c>
      <c r="W33"/>
      <c r="AA33"/>
      <c r="AB33"/>
      <c r="AC33"/>
      <c r="AE33"/>
      <c r="AF33"/>
      <c r="AG33"/>
      <c r="AH33"/>
      <c r="AI33"/>
      <c r="AL33"/>
    </row>
    <row r="34" spans="2:38" x14ac:dyDescent="0.3">
      <c r="B34" s="7" t="s">
        <v>5</v>
      </c>
      <c r="C34" s="8" t="s">
        <v>32</v>
      </c>
      <c r="D34" s="8" t="s">
        <v>22</v>
      </c>
      <c r="E34" s="12" t="s">
        <v>40</v>
      </c>
      <c r="F34" s="12">
        <v>3300</v>
      </c>
      <c r="G34" s="12">
        <v>3199.0520000000001</v>
      </c>
      <c r="H34" s="18">
        <v>45974.364583333336</v>
      </c>
      <c r="I34" s="18">
        <v>45975.131944444445</v>
      </c>
      <c r="J34" s="18">
        <v>45976.013888888891</v>
      </c>
      <c r="K34" s="22">
        <v>45976</v>
      </c>
      <c r="L34" s="9" t="s">
        <v>48</v>
      </c>
      <c r="M34" s="9" t="s">
        <v>46</v>
      </c>
      <c r="N34" s="9" t="s">
        <v>43</v>
      </c>
      <c r="O34" s="12"/>
      <c r="P34" s="25">
        <f>Таблица1[[#This Row],[Вес по  B\L]]+Таблица1[[#This Row],[Вес  на  борту   до  начала  грузовых операций ]]</f>
        <v>3199.0520000000001</v>
      </c>
      <c r="Q34" s="11" t="str">
        <f>CONCATENATE(Таблица1[[#This Row],[ТХ ]],"/",Таблица1[[#This Row],[Дата  составления  B\L]])</f>
        <v>т/х Дон Стар 5 ИМО 8955469/45976</v>
      </c>
      <c r="R34" s="45">
        <f>IF(YEAR(Таблица1[[#This Row],[Дата  составления  B\L]])=1900,"Нет Данных",YEAR(Таблица1[[#This Row],[Дата  составления  B\L]]))</f>
        <v>2025</v>
      </c>
      <c r="S34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4" s="45">
        <f>_xlfn.ISOWEEKNUM(Таблица1[[#This Row],[Дата  составления  B\L]])</f>
        <v>46</v>
      </c>
      <c r="U34" s="114">
        <f>IF(ISBLANK(Таблица1[[#This Row],[Дата  составления  B\L]]),DATE(1900,1,1),Таблица1[[#This Row],[Дата  составления  B\L]])</f>
        <v>45976</v>
      </c>
      <c r="W34"/>
      <c r="AA34"/>
      <c r="AB34"/>
      <c r="AC34"/>
      <c r="AE34"/>
      <c r="AF34"/>
      <c r="AG34"/>
      <c r="AH34"/>
      <c r="AI34"/>
      <c r="AL34"/>
    </row>
    <row r="35" spans="2:38" x14ac:dyDescent="0.3">
      <c r="B35" s="7" t="s">
        <v>1</v>
      </c>
      <c r="C35" s="8" t="s">
        <v>13</v>
      </c>
      <c r="D35" s="8" t="s">
        <v>22</v>
      </c>
      <c r="E35" s="12" t="s">
        <v>40</v>
      </c>
      <c r="F35" s="12">
        <v>3300</v>
      </c>
      <c r="G35" s="12">
        <v>3241.2080000000001</v>
      </c>
      <c r="H35" s="18">
        <v>45974.291666666664</v>
      </c>
      <c r="I35" s="18">
        <v>45975.583333333336</v>
      </c>
      <c r="J35" s="18">
        <v>45976.986111111109</v>
      </c>
      <c r="K35" s="22">
        <v>45976</v>
      </c>
      <c r="L35" s="9" t="s">
        <v>52</v>
      </c>
      <c r="M35" s="9" t="s">
        <v>47</v>
      </c>
      <c r="N35" s="9" t="s">
        <v>43</v>
      </c>
      <c r="O35" s="12"/>
      <c r="P35" s="25">
        <f>Таблица1[[#This Row],[Вес по  B\L]]+Таблица1[[#This Row],[Вес  на  борту   до  начала  грузовых операций ]]</f>
        <v>3241.2080000000001</v>
      </c>
      <c r="Q35" s="11" t="str">
        <f>CONCATENATE(Таблица1[[#This Row],[ТХ ]],"/",Таблица1[[#This Row],[Дата  составления  B\L]])</f>
        <v>т/х Дон Стар 1 ИМО 8866735/45976</v>
      </c>
      <c r="R35" s="45">
        <f>IF(YEAR(Таблица1[[#This Row],[Дата  составления  B\L]])=1900,"Нет Данных",YEAR(Таблица1[[#This Row],[Дата  составления  B\L]]))</f>
        <v>2025</v>
      </c>
      <c r="S35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5" s="45">
        <f>_xlfn.ISOWEEKNUM(Таблица1[[#This Row],[Дата  составления  B\L]])</f>
        <v>46</v>
      </c>
      <c r="U35" s="114">
        <f>IF(ISBLANK(Таблица1[[#This Row],[Дата  составления  B\L]]),DATE(1900,1,1),Таблица1[[#This Row],[Дата  составления  B\L]])</f>
        <v>45976</v>
      </c>
      <c r="W35"/>
      <c r="AA35"/>
      <c r="AB35"/>
      <c r="AC35"/>
      <c r="AE35"/>
      <c r="AF35"/>
      <c r="AG35"/>
      <c r="AH35"/>
      <c r="AI35"/>
      <c r="AL35"/>
    </row>
    <row r="36" spans="2:38" x14ac:dyDescent="0.3">
      <c r="B36" s="7" t="s">
        <v>6</v>
      </c>
      <c r="C36" s="8" t="s">
        <v>13</v>
      </c>
      <c r="D36" s="8" t="s">
        <v>22</v>
      </c>
      <c r="E36" s="12" t="s">
        <v>40</v>
      </c>
      <c r="F36" s="12">
        <v>3300</v>
      </c>
      <c r="G36" s="12">
        <v>3248.78</v>
      </c>
      <c r="H36" s="18">
        <v>45977.28125</v>
      </c>
      <c r="I36" s="18">
        <v>45977.354166666664</v>
      </c>
      <c r="J36" s="18">
        <v>45979.361111111109</v>
      </c>
      <c r="K36" s="22">
        <v>45979</v>
      </c>
      <c r="L36" s="9" t="s">
        <v>48</v>
      </c>
      <c r="M36" s="9" t="s">
        <v>46</v>
      </c>
      <c r="N36" s="9" t="s">
        <v>43</v>
      </c>
      <c r="O36" s="12"/>
      <c r="P36" s="25">
        <f>Таблица1[[#This Row],[Вес по  B\L]]+Таблица1[[#This Row],[Вес  на  борту   до  начала  грузовых операций ]]</f>
        <v>3248.78</v>
      </c>
      <c r="Q36" s="11" t="str">
        <f>CONCATENATE(Таблица1[[#This Row],[ТХ ]],"/",Таблица1[[#This Row],[Дата  составления  B\L]])</f>
        <v>т/х Дон Стар 6 ИМО 8951396/45979</v>
      </c>
      <c r="R36" s="45">
        <f>IF(YEAR(Таблица1[[#This Row],[Дата  составления  B\L]])=1900,"Нет Данных",YEAR(Таблица1[[#This Row],[Дата  составления  B\L]]))</f>
        <v>2025</v>
      </c>
      <c r="S36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6" s="45">
        <f>_xlfn.ISOWEEKNUM(Таблица1[[#This Row],[Дата  составления  B\L]])</f>
        <v>47</v>
      </c>
      <c r="U36" s="114">
        <f>IF(ISBLANK(Таблица1[[#This Row],[Дата  составления  B\L]]),DATE(1900,1,1),Таблица1[[#This Row],[Дата  составления  B\L]])</f>
        <v>45979</v>
      </c>
      <c r="W36"/>
      <c r="AA36"/>
      <c r="AB36"/>
      <c r="AC36"/>
      <c r="AE36"/>
      <c r="AF36"/>
      <c r="AG36"/>
      <c r="AH36"/>
      <c r="AI36"/>
      <c r="AL36"/>
    </row>
    <row r="37" spans="2:38" x14ac:dyDescent="0.3">
      <c r="B37" s="7" t="s">
        <v>23</v>
      </c>
      <c r="C37" s="8" t="s">
        <v>56</v>
      </c>
      <c r="D37" s="8" t="s">
        <v>22</v>
      </c>
      <c r="E37" s="12" t="s">
        <v>40</v>
      </c>
      <c r="F37" s="12">
        <v>4750</v>
      </c>
      <c r="G37" s="12">
        <v>4780.7449999999999</v>
      </c>
      <c r="H37" s="18"/>
      <c r="I37" s="18">
        <v>45975.871527777781</v>
      </c>
      <c r="J37" s="18">
        <v>45976.496527777781</v>
      </c>
      <c r="K37" s="22">
        <v>45976</v>
      </c>
      <c r="L37" s="9" t="s">
        <v>48</v>
      </c>
      <c r="M37" s="9" t="s">
        <v>46</v>
      </c>
      <c r="N37" s="9" t="s">
        <v>43</v>
      </c>
      <c r="O37" s="12"/>
      <c r="P37" s="25">
        <f>Таблица1[[#This Row],[Вес по  B\L]]+Таблица1[[#This Row],[Вес  на  борту   до  начала  грузовых операций ]]</f>
        <v>4780.7449999999999</v>
      </c>
      <c r="Q37" s="11" t="str">
        <f>CONCATENATE(Таблица1[[#This Row],[ТХ ]],"/",Таблица1[[#This Row],[Дата  составления  B\L]])</f>
        <v>Волго-Дон 5079 ИМО 8852784/45976</v>
      </c>
      <c r="R37" s="45">
        <f>IF(YEAR(Таблица1[[#This Row],[Дата  составления  B\L]])=1900,"Нет Данных",YEAR(Таблица1[[#This Row],[Дата  составления  B\L]]))</f>
        <v>2025</v>
      </c>
      <c r="S37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7" s="45">
        <f>_xlfn.ISOWEEKNUM(Таблица1[[#This Row],[Дата  составления  B\L]])</f>
        <v>46</v>
      </c>
      <c r="U37" s="114">
        <f>IF(ISBLANK(Таблица1[[#This Row],[Дата  составления  B\L]]),DATE(1900,1,1),Таблица1[[#This Row],[Дата  составления  B\L]])</f>
        <v>45976</v>
      </c>
      <c r="W37"/>
      <c r="AA37"/>
      <c r="AB37"/>
      <c r="AC37"/>
      <c r="AE37"/>
      <c r="AF37"/>
      <c r="AG37"/>
      <c r="AH37"/>
      <c r="AI37"/>
      <c r="AL37"/>
    </row>
    <row r="38" spans="2:38" x14ac:dyDescent="0.3">
      <c r="B38" s="7" t="s">
        <v>7</v>
      </c>
      <c r="C38" s="8" t="s">
        <v>49</v>
      </c>
      <c r="D38" s="8" t="s">
        <v>22</v>
      </c>
      <c r="E38" s="12" t="s">
        <v>40</v>
      </c>
      <c r="F38" s="12">
        <v>2800</v>
      </c>
      <c r="G38" s="12">
        <v>2799.82</v>
      </c>
      <c r="H38" s="18">
        <v>45979.430555555555</v>
      </c>
      <c r="I38" s="18">
        <v>45980.517361111109</v>
      </c>
      <c r="J38" s="18" t="s">
        <v>57</v>
      </c>
      <c r="K38" s="22">
        <v>45981</v>
      </c>
      <c r="L38" s="9" t="s">
        <v>52</v>
      </c>
      <c r="M38" s="9" t="s">
        <v>47</v>
      </c>
      <c r="N38" s="9" t="s">
        <v>43</v>
      </c>
      <c r="O38" s="12"/>
      <c r="P38" s="25">
        <f>Таблица1[[#This Row],[Вес по  B\L]]+Таблица1[[#This Row],[Вес  на  борту   до  начала  грузовых операций ]]</f>
        <v>2799.82</v>
      </c>
      <c r="Q38" s="11" t="str">
        <f>CONCATENATE(Таблица1[[#This Row],[ТХ ]],"/",Таблица1[[#This Row],[Дата  составления  B\L]])</f>
        <v>т/х Дон Стар 7 ИМО 8844153/45981</v>
      </c>
      <c r="R38" s="45">
        <f>IF(YEAR(Таблица1[[#This Row],[Дата  составления  B\L]])=1900,"Нет Данных",YEAR(Таблица1[[#This Row],[Дата  составления  B\L]]))</f>
        <v>2025</v>
      </c>
      <c r="S38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8" s="45">
        <f>_xlfn.ISOWEEKNUM(Таблица1[[#This Row],[Дата  составления  B\L]])</f>
        <v>47</v>
      </c>
      <c r="U38" s="114">
        <f>IF(ISBLANK(Таблица1[[#This Row],[Дата  составления  B\L]]),DATE(1900,1,1),Таблица1[[#This Row],[Дата  составления  B\L]])</f>
        <v>45981</v>
      </c>
      <c r="W38"/>
      <c r="AA38"/>
      <c r="AB38"/>
      <c r="AC38"/>
      <c r="AE38"/>
      <c r="AF38"/>
      <c r="AG38"/>
      <c r="AH38"/>
      <c r="AI38"/>
      <c r="AL38"/>
    </row>
    <row r="39" spans="2:38" x14ac:dyDescent="0.3">
      <c r="B39" s="7" t="s">
        <v>8</v>
      </c>
      <c r="C39" s="8" t="s">
        <v>56</v>
      </c>
      <c r="D39" s="8" t="s">
        <v>22</v>
      </c>
      <c r="E39" s="12" t="s">
        <v>40</v>
      </c>
      <c r="F39" s="12">
        <v>3300</v>
      </c>
      <c r="G39" s="12">
        <v>3300.5419999999999</v>
      </c>
      <c r="H39" s="18">
        <v>45979.458333333336</v>
      </c>
      <c r="I39" s="18">
        <v>45981.677083333336</v>
      </c>
      <c r="J39" s="18">
        <v>45982.1875</v>
      </c>
      <c r="K39" s="22">
        <v>45982</v>
      </c>
      <c r="L39" s="9" t="s">
        <v>48</v>
      </c>
      <c r="M39" s="9" t="s">
        <v>46</v>
      </c>
      <c r="N39" s="9" t="s">
        <v>43</v>
      </c>
      <c r="O39" s="12"/>
      <c r="P39" s="25">
        <f>Таблица1[[#This Row],[Вес по  B\L]]+Таблица1[[#This Row],[Вес  на  борту   до  начала  грузовых операций ]]</f>
        <v>3300.5419999999999</v>
      </c>
      <c r="Q39" s="11" t="str">
        <f>CONCATENATE(Таблица1[[#This Row],[ТХ ]],"/",Таблица1[[#This Row],[Дата  составления  B\L]])</f>
        <v>т/х Дон Стар 8 ИМО 8884957/45982</v>
      </c>
      <c r="R39" s="45">
        <f>IF(YEAR(Таблица1[[#This Row],[Дата  составления  B\L]])=1900,"Нет Данных",YEAR(Таблица1[[#This Row],[Дата  составления  B\L]]))</f>
        <v>2025</v>
      </c>
      <c r="S39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39" s="45">
        <f>_xlfn.ISOWEEKNUM(Таблица1[[#This Row],[Дата  составления  B\L]])</f>
        <v>47</v>
      </c>
      <c r="U39" s="114">
        <f>IF(ISBLANK(Таблица1[[#This Row],[Дата  составления  B\L]]),DATE(1900,1,1),Таблица1[[#This Row],[Дата  составления  B\L]])</f>
        <v>45982</v>
      </c>
      <c r="W39"/>
      <c r="AA39"/>
      <c r="AB39"/>
      <c r="AC39"/>
      <c r="AE39"/>
      <c r="AF39"/>
      <c r="AG39"/>
      <c r="AH39"/>
      <c r="AI39"/>
      <c r="AL39"/>
    </row>
    <row r="40" spans="2:38" x14ac:dyDescent="0.3">
      <c r="B40" s="7" t="s">
        <v>4</v>
      </c>
      <c r="C40" s="8" t="s">
        <v>19</v>
      </c>
      <c r="D40" s="8" t="s">
        <v>22</v>
      </c>
      <c r="E40" s="12" t="s">
        <v>40</v>
      </c>
      <c r="F40" s="12">
        <v>4050</v>
      </c>
      <c r="G40" s="12">
        <v>4025.2979999999998</v>
      </c>
      <c r="H40" s="18">
        <v>45979.680555555555</v>
      </c>
      <c r="I40" s="18">
        <v>45981.791666666664</v>
      </c>
      <c r="J40" s="18" t="s">
        <v>58</v>
      </c>
      <c r="K40" s="22">
        <v>45983</v>
      </c>
      <c r="L40" s="9" t="s">
        <v>48</v>
      </c>
      <c r="M40" s="9" t="s">
        <v>46</v>
      </c>
      <c r="N40" s="9" t="s">
        <v>43</v>
      </c>
      <c r="O40" s="12"/>
      <c r="P40" s="25">
        <f>Таблица1[[#This Row],[Вес по  B\L]]+Таблица1[[#This Row],[Вес  на  борту   до  начала  грузовых операций ]]</f>
        <v>4025.2979999999998</v>
      </c>
      <c r="Q40" s="11" t="str">
        <f>CONCATENATE(Таблица1[[#This Row],[ТХ ]],"/",Таблица1[[#This Row],[Дата  составления  B\L]])</f>
        <v>т/х Дон Стар 4 ИМО 7911478/45983</v>
      </c>
      <c r="R40" s="45">
        <f>IF(YEAR(Таблица1[[#This Row],[Дата  составления  B\L]])=1900,"Нет Данных",YEAR(Таблица1[[#This Row],[Дата  составления  B\L]]))</f>
        <v>2025</v>
      </c>
      <c r="S40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40" s="45">
        <f>_xlfn.ISOWEEKNUM(Таблица1[[#This Row],[Дата  составления  B\L]])</f>
        <v>47</v>
      </c>
      <c r="U40" s="114">
        <f>IF(ISBLANK(Таблица1[[#This Row],[Дата  составления  B\L]]),DATE(1900,1,1),Таблица1[[#This Row],[Дата  составления  B\L]])</f>
        <v>45983</v>
      </c>
      <c r="W40"/>
      <c r="AA40"/>
      <c r="AB40"/>
      <c r="AC40"/>
      <c r="AE40"/>
      <c r="AF40"/>
      <c r="AG40"/>
      <c r="AH40"/>
      <c r="AI40"/>
      <c r="AL40"/>
    </row>
    <row r="41" spans="2:38" x14ac:dyDescent="0.3">
      <c r="B41" s="7" t="s">
        <v>1</v>
      </c>
      <c r="C41" s="8" t="s">
        <v>32</v>
      </c>
      <c r="D41" s="8" t="s">
        <v>22</v>
      </c>
      <c r="E41" s="12" t="s">
        <v>40</v>
      </c>
      <c r="F41" s="12">
        <v>3300</v>
      </c>
      <c r="G41" s="12">
        <v>3309.6550000000002</v>
      </c>
      <c r="H41" s="18">
        <v>45985.125</v>
      </c>
      <c r="I41" s="18">
        <v>45985.222222222219</v>
      </c>
      <c r="J41" s="18">
        <v>45986.583333333336</v>
      </c>
      <c r="K41" s="22">
        <v>45986</v>
      </c>
      <c r="L41" s="9" t="s">
        <v>48</v>
      </c>
      <c r="M41" s="9" t="s">
        <v>46</v>
      </c>
      <c r="N41" s="9" t="s">
        <v>43</v>
      </c>
      <c r="O41" s="12"/>
      <c r="P41" s="25">
        <f>Таблица1[[#This Row],[Вес по  B\L]]+Таблица1[[#This Row],[Вес  на  борту   до  начала  грузовых операций ]]</f>
        <v>3309.6550000000002</v>
      </c>
      <c r="Q41" s="11" t="str">
        <f>CONCATENATE(Таблица1[[#This Row],[ТХ ]],"/",Таблица1[[#This Row],[Дата  составления  B\L]])</f>
        <v>т/х Дон Стар 1 ИМО 8866735/45986</v>
      </c>
      <c r="R41" s="45">
        <f>IF(YEAR(Таблица1[[#This Row],[Дата  составления  B\L]])=1900,"Нет Данных",YEAR(Таблица1[[#This Row],[Дата  составления  B\L]]))</f>
        <v>2025</v>
      </c>
      <c r="S41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41" s="45">
        <f>_xlfn.ISOWEEKNUM(Таблица1[[#This Row],[Дата  составления  B\L]])</f>
        <v>48</v>
      </c>
      <c r="U41" s="114">
        <f>IF(ISBLANK(Таблица1[[#This Row],[Дата  составления  B\L]]),DATE(1900,1,1),Таблица1[[#This Row],[Дата  составления  B\L]])</f>
        <v>45986</v>
      </c>
      <c r="W41"/>
      <c r="AA41"/>
      <c r="AB41"/>
      <c r="AC41"/>
      <c r="AE41"/>
      <c r="AF41"/>
      <c r="AG41"/>
      <c r="AH41"/>
      <c r="AI41"/>
      <c r="AL41"/>
    </row>
    <row r="42" spans="2:38" x14ac:dyDescent="0.3">
      <c r="B42" s="7" t="s">
        <v>6</v>
      </c>
      <c r="C42" s="8" t="s">
        <v>13</v>
      </c>
      <c r="D42" s="8" t="s">
        <v>22</v>
      </c>
      <c r="E42" s="12" t="s">
        <v>40</v>
      </c>
      <c r="F42" s="12">
        <v>2300</v>
      </c>
      <c r="G42" s="12">
        <v>2322.904</v>
      </c>
      <c r="H42" s="18">
        <v>45985.392361111109</v>
      </c>
      <c r="I42" s="18">
        <v>45986.354166666664</v>
      </c>
      <c r="J42" s="18">
        <v>45987.236111111109</v>
      </c>
      <c r="K42" s="22">
        <v>45987</v>
      </c>
      <c r="L42" s="9" t="s">
        <v>48</v>
      </c>
      <c r="M42" s="9" t="s">
        <v>46</v>
      </c>
      <c r="N42" s="9" t="s">
        <v>43</v>
      </c>
      <c r="O42" s="12"/>
      <c r="P42" s="25">
        <f>Таблица1[[#This Row],[Вес по  B\L]]+Таблица1[[#This Row],[Вес  на  борту   до  начала  грузовых операций ]]</f>
        <v>2322.904</v>
      </c>
      <c r="Q42" s="11" t="str">
        <f>CONCATENATE(Таблица1[[#This Row],[ТХ ]],"/",Таблица1[[#This Row],[Дата  составления  B\L]])</f>
        <v>т/х Дон Стар 6 ИМО 8951396/45987</v>
      </c>
      <c r="R42" s="45">
        <f>IF(YEAR(Таблица1[[#This Row],[Дата  составления  B\L]])=1900,"Нет Данных",YEAR(Таблица1[[#This Row],[Дата  составления  B\L]]))</f>
        <v>2025</v>
      </c>
      <c r="S42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42" s="45">
        <f>_xlfn.ISOWEEKNUM(Таблица1[[#This Row],[Дата  составления  B\L]])</f>
        <v>48</v>
      </c>
      <c r="U42" s="114">
        <f>IF(ISBLANK(Таблица1[[#This Row],[Дата  составления  B\L]]),DATE(1900,1,1),Таблица1[[#This Row],[Дата  составления  B\L]])</f>
        <v>45987</v>
      </c>
      <c r="W42"/>
      <c r="AA42"/>
      <c r="AB42"/>
      <c r="AC42"/>
      <c r="AE42"/>
      <c r="AF42"/>
      <c r="AG42"/>
      <c r="AH42"/>
      <c r="AI42"/>
      <c r="AL42"/>
    </row>
    <row r="43" spans="2:38" x14ac:dyDescent="0.3">
      <c r="B43" s="7" t="s">
        <v>6</v>
      </c>
      <c r="C43" s="8" t="s">
        <v>32</v>
      </c>
      <c r="D43" s="8" t="s">
        <v>39</v>
      </c>
      <c r="E43" s="12" t="s">
        <v>40</v>
      </c>
      <c r="F43" s="12">
        <v>1000</v>
      </c>
      <c r="G43" s="12">
        <v>928.77200000000005</v>
      </c>
      <c r="H43" s="18">
        <v>45987.989583333336</v>
      </c>
      <c r="I43" s="18">
        <v>45988.024305555555</v>
      </c>
      <c r="J43" s="18">
        <v>45988.486111111109</v>
      </c>
      <c r="K43" s="22">
        <v>45988</v>
      </c>
      <c r="L43" s="9" t="s">
        <v>48</v>
      </c>
      <c r="M43" s="9" t="s">
        <v>46</v>
      </c>
      <c r="N43" s="9" t="s">
        <v>43</v>
      </c>
      <c r="O43" s="12"/>
      <c r="P43" s="25">
        <f>Таблица1[[#This Row],[Вес по  B\L]]+Таблица1[[#This Row],[Вес  на  борту   до  начала  грузовых операций ]]</f>
        <v>928.77200000000005</v>
      </c>
      <c r="Q43" s="11" t="str">
        <f>CONCATENATE(Таблица1[[#This Row],[ТХ ]],"/",Таблица1[[#This Row],[Дата  составления  B\L]])</f>
        <v>т/х Дон Стар 6 ИМО 8951396/45988</v>
      </c>
      <c r="R43" s="45">
        <f>IF(YEAR(Таблица1[[#This Row],[Дата  составления  B\L]])=1900,"Нет Данных",YEAR(Таблица1[[#This Row],[Дата  составления  B\L]]))</f>
        <v>2025</v>
      </c>
      <c r="S43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43" s="45">
        <f>_xlfn.ISOWEEKNUM(Таблица1[[#This Row],[Дата  составления  B\L]])</f>
        <v>48</v>
      </c>
      <c r="U43" s="114">
        <f>IF(ISBLANK(Таблица1[[#This Row],[Дата  составления  B\L]]),DATE(1900,1,1),Таблица1[[#This Row],[Дата  составления  B\L]])</f>
        <v>45988</v>
      </c>
      <c r="W43"/>
      <c r="AA43"/>
      <c r="AB43"/>
      <c r="AC43"/>
      <c r="AE43"/>
      <c r="AF43"/>
      <c r="AG43"/>
      <c r="AH43"/>
      <c r="AI43"/>
      <c r="AL43"/>
    </row>
    <row r="44" spans="2:38" x14ac:dyDescent="0.3">
      <c r="B44" s="7" t="s">
        <v>23</v>
      </c>
      <c r="C44" s="8" t="s">
        <v>49</v>
      </c>
      <c r="D44" s="8" t="s">
        <v>22</v>
      </c>
      <c r="E44" s="12" t="s">
        <v>40</v>
      </c>
      <c r="F44" s="12">
        <v>4750</v>
      </c>
      <c r="G44" s="12">
        <v>4775.8459999999995</v>
      </c>
      <c r="H44" s="18"/>
      <c r="I44" s="18">
        <v>45987.847222222219</v>
      </c>
      <c r="J44" s="18">
        <v>45989.888888888891</v>
      </c>
      <c r="K44" s="22">
        <v>45989</v>
      </c>
      <c r="L44" s="9" t="s">
        <v>48</v>
      </c>
      <c r="M44" s="9" t="s">
        <v>46</v>
      </c>
      <c r="N44" s="9" t="s">
        <v>43</v>
      </c>
      <c r="O44" s="12"/>
      <c r="P44" s="25">
        <f>Таблица1[[#This Row],[Вес по  B\L]]+Таблица1[[#This Row],[Вес  на  борту   до  начала  грузовых операций ]]</f>
        <v>4775.8459999999995</v>
      </c>
      <c r="Q44" s="11" t="str">
        <f>CONCATENATE(Таблица1[[#This Row],[ТХ ]],"/",Таблица1[[#This Row],[Дата  составления  B\L]])</f>
        <v>Волго-Дон 5079 ИМО 8852784/45989</v>
      </c>
      <c r="R44" s="45">
        <f>IF(YEAR(Таблица1[[#This Row],[Дата  составления  B\L]])=1900,"Нет Данных",YEAR(Таблица1[[#This Row],[Дата  составления  B\L]]))</f>
        <v>2025</v>
      </c>
      <c r="S44" s="45" t="str">
        <f>IF(TEXT(Таблица1[[#This Row],[Дата  составления  B\L]],"ММММ")=1900,"Нет Данных",TEXT(Таблица1[[#This Row],[Дата  составления  B\L]],"ММММ"))</f>
        <v>Ноябрь</v>
      </c>
      <c r="T44" s="45">
        <f>_xlfn.ISOWEEKNUM(Таблица1[[#This Row],[Дата  составления  B\L]])</f>
        <v>48</v>
      </c>
      <c r="U44" s="114">
        <f>IF(ISBLANK(Таблица1[[#This Row],[Дата  составления  B\L]]),DATE(1900,1,1),Таблица1[[#This Row],[Дата  составления  B\L]])</f>
        <v>45989</v>
      </c>
      <c r="W44"/>
      <c r="AA44"/>
      <c r="AB44"/>
      <c r="AC44"/>
      <c r="AE44"/>
      <c r="AF44"/>
      <c r="AG44"/>
      <c r="AH44"/>
      <c r="AI44"/>
      <c r="AL44"/>
    </row>
    <row r="45" spans="2:38" x14ac:dyDescent="0.3">
      <c r="B45" s="7" t="s">
        <v>8</v>
      </c>
      <c r="C45" s="8" t="s">
        <v>49</v>
      </c>
      <c r="D45" s="8" t="s">
        <v>22</v>
      </c>
      <c r="E45" s="12" t="s">
        <v>40</v>
      </c>
      <c r="F45" s="12">
        <v>1200</v>
      </c>
      <c r="G45" s="12">
        <v>1144.855</v>
      </c>
      <c r="H45" s="18">
        <v>45990.777777777781</v>
      </c>
      <c r="I45" s="18">
        <v>45991.524305555555</v>
      </c>
      <c r="J45" s="18">
        <v>45992.65625</v>
      </c>
      <c r="K45" s="22">
        <v>45992</v>
      </c>
      <c r="L45" s="9" t="s">
        <v>48</v>
      </c>
      <c r="M45" s="9" t="s">
        <v>46</v>
      </c>
      <c r="N45" s="9" t="s">
        <v>43</v>
      </c>
      <c r="O45" s="12"/>
      <c r="P45" s="25">
        <f>Таблица1[[#This Row],[Вес по  B\L]]+Таблица1[[#This Row],[Вес  на  борту   до  начала  грузовых операций ]]</f>
        <v>1144.855</v>
      </c>
      <c r="Q45" s="11" t="str">
        <f>CONCATENATE(Таблица1[[#This Row],[ТХ ]],"/",Таблица1[[#This Row],[Дата  составления  B\L]])</f>
        <v>т/х Дон Стар 8 ИМО 8884957/45992</v>
      </c>
      <c r="R45" s="45">
        <f>IF(YEAR(Таблица1[[#This Row],[Дата  составления  B\L]])=1900,"Нет Данных",YEAR(Таблица1[[#This Row],[Дата  составления  B\L]]))</f>
        <v>2025</v>
      </c>
      <c r="S45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45" s="45">
        <f>_xlfn.ISOWEEKNUM(Таблица1[[#This Row],[Дата  составления  B\L]])</f>
        <v>49</v>
      </c>
      <c r="U45" s="114">
        <f>IF(ISBLANK(Таблица1[[#This Row],[Дата  составления  B\L]]),DATE(1900,1,1),Таблица1[[#This Row],[Дата  составления  B\L]])</f>
        <v>45992</v>
      </c>
      <c r="W45"/>
      <c r="AA45"/>
      <c r="AB45"/>
      <c r="AC45"/>
      <c r="AE45"/>
      <c r="AF45"/>
      <c r="AG45"/>
      <c r="AH45"/>
      <c r="AI45"/>
      <c r="AL45"/>
    </row>
    <row r="46" spans="2:38" x14ac:dyDescent="0.3">
      <c r="B46" s="7" t="s">
        <v>8</v>
      </c>
      <c r="C46" s="8" t="s">
        <v>59</v>
      </c>
      <c r="D46" s="8" t="s">
        <v>39</v>
      </c>
      <c r="E46" s="12" t="s">
        <v>40</v>
      </c>
      <c r="F46" s="12">
        <v>2100</v>
      </c>
      <c r="G46" s="12">
        <v>2080.3939999999998</v>
      </c>
      <c r="H46" s="18">
        <v>45993.451388888891</v>
      </c>
      <c r="I46" s="18">
        <v>45993.559027777781</v>
      </c>
      <c r="J46" s="18">
        <v>45994.0625</v>
      </c>
      <c r="K46" s="22">
        <v>45994</v>
      </c>
      <c r="L46" s="9" t="s">
        <v>48</v>
      </c>
      <c r="M46" s="9" t="s">
        <v>46</v>
      </c>
      <c r="N46" s="9" t="s">
        <v>43</v>
      </c>
      <c r="O46" s="12">
        <v>1144.855</v>
      </c>
      <c r="P46" s="25">
        <f>Таблица1[[#This Row],[Вес по  B\L]]+Таблица1[[#This Row],[Вес  на  борту   до  начала  грузовых операций ]]</f>
        <v>3225.2489999999998</v>
      </c>
      <c r="Q46" s="11" t="str">
        <f>CONCATENATE(Таблица1[[#This Row],[ТХ ]],"/",Таблица1[[#This Row],[Дата  составления  B\L]])</f>
        <v>т/х Дон Стар 8 ИМО 8884957/45994</v>
      </c>
      <c r="R46" s="45">
        <f>IF(YEAR(Таблица1[[#This Row],[Дата  составления  B\L]])=1900,"Нет Данных",YEAR(Таблица1[[#This Row],[Дата  составления  B\L]]))</f>
        <v>2025</v>
      </c>
      <c r="S46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46" s="45">
        <f>_xlfn.ISOWEEKNUM(Таблица1[[#This Row],[Дата  составления  B\L]])</f>
        <v>49</v>
      </c>
      <c r="U46" s="114">
        <f>IF(ISBLANK(Таблица1[[#This Row],[Дата  составления  B\L]]),DATE(1900,1,1),Таблица1[[#This Row],[Дата  составления  B\L]])</f>
        <v>45994</v>
      </c>
      <c r="W46"/>
      <c r="AA46"/>
      <c r="AB46"/>
      <c r="AC46"/>
      <c r="AE46"/>
      <c r="AF46"/>
      <c r="AG46"/>
      <c r="AH46"/>
      <c r="AI46"/>
      <c r="AL46"/>
    </row>
    <row r="47" spans="2:38" x14ac:dyDescent="0.3">
      <c r="B47" s="7" t="s">
        <v>7</v>
      </c>
      <c r="C47" s="8" t="s">
        <v>32</v>
      </c>
      <c r="D47" s="8" t="s">
        <v>22</v>
      </c>
      <c r="E47" s="12" t="s">
        <v>40</v>
      </c>
      <c r="F47" s="12">
        <v>3300</v>
      </c>
      <c r="G47" s="12">
        <v>3028.7240000000002</v>
      </c>
      <c r="H47" s="18">
        <v>45990.138888888891</v>
      </c>
      <c r="I47" s="18">
        <v>45992.229166666664</v>
      </c>
      <c r="J47" s="18">
        <v>45993.597222222219</v>
      </c>
      <c r="K47" s="22">
        <v>45993</v>
      </c>
      <c r="L47" s="9" t="s">
        <v>48</v>
      </c>
      <c r="M47" s="9" t="s">
        <v>46</v>
      </c>
      <c r="N47" s="9" t="s">
        <v>43</v>
      </c>
      <c r="O47" s="12"/>
      <c r="P47" s="25">
        <f>Таблица1[[#This Row],[Вес по  B\L]]+Таблица1[[#This Row],[Вес  на  борту   до  начала  грузовых операций ]]</f>
        <v>3028.7240000000002</v>
      </c>
      <c r="Q47" s="11" t="str">
        <f>CONCATENATE(Таблица1[[#This Row],[ТХ ]],"/",Таблица1[[#This Row],[Дата  составления  B\L]])</f>
        <v>т/х Дон Стар 7 ИМО 8844153/45993</v>
      </c>
      <c r="R47" s="45">
        <f>IF(YEAR(Таблица1[[#This Row],[Дата  составления  B\L]])=1900,"Нет Данных",YEAR(Таблица1[[#This Row],[Дата  составления  B\L]]))</f>
        <v>2025</v>
      </c>
      <c r="S47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47" s="45">
        <f>_xlfn.ISOWEEKNUM(Таблица1[[#This Row],[Дата  составления  B\L]])</f>
        <v>49</v>
      </c>
      <c r="U47" s="114">
        <f>IF(ISBLANK(Таблица1[[#This Row],[Дата  составления  B\L]]),DATE(1900,1,1),Таблица1[[#This Row],[Дата  составления  B\L]])</f>
        <v>45993</v>
      </c>
      <c r="W47"/>
      <c r="AA47"/>
      <c r="AB47"/>
      <c r="AC47"/>
      <c r="AE47"/>
      <c r="AF47"/>
      <c r="AG47"/>
      <c r="AH47"/>
      <c r="AI47"/>
      <c r="AL47"/>
    </row>
    <row r="48" spans="2:38" x14ac:dyDescent="0.3">
      <c r="B48" s="7" t="s">
        <v>1</v>
      </c>
      <c r="C48" s="8" t="s">
        <v>59</v>
      </c>
      <c r="D48" s="8" t="s">
        <v>22</v>
      </c>
      <c r="E48" s="12" t="s">
        <v>40</v>
      </c>
      <c r="F48" s="12">
        <v>3300</v>
      </c>
      <c r="G48" s="12">
        <v>3300.42</v>
      </c>
      <c r="H48" s="18">
        <v>45992.513888888891</v>
      </c>
      <c r="I48" s="18">
        <v>45993.545138888891</v>
      </c>
      <c r="J48" s="18">
        <v>45994.440972222219</v>
      </c>
      <c r="K48" s="22">
        <v>45994</v>
      </c>
      <c r="L48" s="9" t="s">
        <v>48</v>
      </c>
      <c r="M48" s="9" t="s">
        <v>46</v>
      </c>
      <c r="N48" s="9" t="s">
        <v>43</v>
      </c>
      <c r="O48" s="12"/>
      <c r="P48" s="25">
        <f>Таблица1[[#This Row],[Вес по  B\L]]+Таблица1[[#This Row],[Вес  на  борту   до  начала  грузовых операций ]]</f>
        <v>3300.42</v>
      </c>
      <c r="Q48" s="11" t="str">
        <f>CONCATENATE(Таблица1[[#This Row],[ТХ ]],"/",Таблица1[[#This Row],[Дата  составления  B\L]])</f>
        <v>т/х Дон Стар 1 ИМО 8866735/45994</v>
      </c>
      <c r="R48" s="45">
        <f>IF(YEAR(Таблица1[[#This Row],[Дата  составления  B\L]])=1900,"Нет Данных",YEAR(Таблица1[[#This Row],[Дата  составления  B\L]]))</f>
        <v>2025</v>
      </c>
      <c r="S48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48" s="45">
        <f>_xlfn.ISOWEEKNUM(Таблица1[[#This Row],[Дата  составления  B\L]])</f>
        <v>49</v>
      </c>
      <c r="U48" s="114">
        <f>IF(ISBLANK(Таблица1[[#This Row],[Дата  составления  B\L]]),DATE(1900,1,1),Таблица1[[#This Row],[Дата  составления  B\L]])</f>
        <v>45994</v>
      </c>
      <c r="W48"/>
      <c r="AA48"/>
      <c r="AB48"/>
      <c r="AC48"/>
      <c r="AE48"/>
      <c r="AF48"/>
      <c r="AG48"/>
      <c r="AH48"/>
      <c r="AI48"/>
      <c r="AL48"/>
    </row>
    <row r="49" spans="2:38" x14ac:dyDescent="0.3">
      <c r="B49" s="7" t="s">
        <v>4</v>
      </c>
      <c r="C49" s="8" t="s">
        <v>59</v>
      </c>
      <c r="D49" s="8" t="s">
        <v>22</v>
      </c>
      <c r="E49" s="12" t="s">
        <v>40</v>
      </c>
      <c r="F49" s="12">
        <v>4000</v>
      </c>
      <c r="G49" s="12">
        <v>4010.0010000000002</v>
      </c>
      <c r="H49" s="18">
        <v>45992.875</v>
      </c>
      <c r="I49" s="18"/>
      <c r="J49" s="18"/>
      <c r="K49" s="22">
        <v>45995</v>
      </c>
      <c r="L49" s="9" t="s">
        <v>48</v>
      </c>
      <c r="M49" s="9" t="s">
        <v>46</v>
      </c>
      <c r="N49" s="9" t="s">
        <v>43</v>
      </c>
      <c r="O49" s="12"/>
      <c r="P49" s="25">
        <f>Таблица1[[#This Row],[Вес по  B\L]]+Таблица1[[#This Row],[Вес  на  борту   до  начала  грузовых операций ]]</f>
        <v>4010.0010000000002</v>
      </c>
      <c r="Q49" s="11" t="str">
        <f>CONCATENATE(Таблица1[[#This Row],[ТХ ]],"/",Таблица1[[#This Row],[Дата  составления  B\L]])</f>
        <v>т/х Дон Стар 4 ИМО 7911478/45995</v>
      </c>
      <c r="R49" s="45">
        <f>IF(YEAR(Таблица1[[#This Row],[Дата  составления  B\L]])=1900,"Нет Данных",YEAR(Таблица1[[#This Row],[Дата  составления  B\L]]))</f>
        <v>2025</v>
      </c>
      <c r="S49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49" s="45">
        <f>_xlfn.ISOWEEKNUM(Таблица1[[#This Row],[Дата  составления  B\L]])</f>
        <v>49</v>
      </c>
      <c r="U49" s="114">
        <f>IF(ISBLANK(Таблица1[[#This Row],[Дата  составления  B\L]]),DATE(1900,1,1),Таблица1[[#This Row],[Дата  составления  B\L]])</f>
        <v>45995</v>
      </c>
      <c r="W49"/>
      <c r="AA49"/>
      <c r="AB49"/>
      <c r="AC49"/>
      <c r="AE49"/>
      <c r="AF49"/>
      <c r="AG49"/>
      <c r="AH49"/>
      <c r="AI49"/>
      <c r="AL49"/>
    </row>
    <row r="50" spans="2:38" x14ac:dyDescent="0.3">
      <c r="B50" s="7" t="s">
        <v>6</v>
      </c>
      <c r="C50" s="8" t="s">
        <v>59</v>
      </c>
      <c r="D50" s="8" t="s">
        <v>22</v>
      </c>
      <c r="E50" s="12" t="s">
        <v>40</v>
      </c>
      <c r="F50" s="12">
        <v>3300</v>
      </c>
      <c r="G50" s="12">
        <v>2901.6239999999998</v>
      </c>
      <c r="H50" s="18"/>
      <c r="I50" s="18"/>
      <c r="J50" s="18"/>
      <c r="K50" s="22">
        <v>45996</v>
      </c>
      <c r="L50" s="9" t="s">
        <v>48</v>
      </c>
      <c r="M50" s="9" t="s">
        <v>46</v>
      </c>
      <c r="N50" s="9" t="s">
        <v>43</v>
      </c>
      <c r="O50" s="12"/>
      <c r="P50" s="25">
        <f>Таблица1[[#This Row],[Вес по  B\L]]+Таблица1[[#This Row],[Вес  на  борту   до  начала  грузовых операций ]]</f>
        <v>2901.6239999999998</v>
      </c>
      <c r="Q50" s="11" t="str">
        <f>CONCATENATE(Таблица1[[#This Row],[ТХ ]],"/",Таблица1[[#This Row],[Дата  составления  B\L]])</f>
        <v>т/х Дон Стар 6 ИМО 8951396/45996</v>
      </c>
      <c r="R50" s="45">
        <f>IF(YEAR(Таблица1[[#This Row],[Дата  составления  B\L]])=1900,"Нет Данных",YEAR(Таблица1[[#This Row],[Дата  составления  B\L]]))</f>
        <v>2025</v>
      </c>
      <c r="S50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0" s="45">
        <f>_xlfn.ISOWEEKNUM(Таблица1[[#This Row],[Дата  составления  B\L]])</f>
        <v>49</v>
      </c>
      <c r="U50" s="114">
        <f>IF(ISBLANK(Таблица1[[#This Row],[Дата  составления  B\L]]),DATE(1900,1,1),Таблица1[[#This Row],[Дата  составления  B\L]])</f>
        <v>45996</v>
      </c>
      <c r="W50"/>
      <c r="AA50"/>
      <c r="AB50"/>
      <c r="AC50"/>
      <c r="AE50"/>
      <c r="AF50"/>
      <c r="AG50"/>
      <c r="AH50"/>
      <c r="AI50"/>
      <c r="AL50"/>
    </row>
    <row r="51" spans="2:38" x14ac:dyDescent="0.3">
      <c r="B51" s="7" t="s">
        <v>5</v>
      </c>
      <c r="C51" s="8" t="s">
        <v>59</v>
      </c>
      <c r="D51" s="8" t="s">
        <v>22</v>
      </c>
      <c r="E51" s="12" t="s">
        <v>40</v>
      </c>
      <c r="F51" s="12">
        <v>3300</v>
      </c>
      <c r="G51" s="12">
        <v>2788.9839999999999</v>
      </c>
      <c r="H51" s="18"/>
      <c r="I51" s="18"/>
      <c r="J51" s="18"/>
      <c r="K51" s="22">
        <v>45997</v>
      </c>
      <c r="L51" s="9" t="s">
        <v>48</v>
      </c>
      <c r="M51" s="9" t="s">
        <v>46</v>
      </c>
      <c r="N51" s="9" t="s">
        <v>43</v>
      </c>
      <c r="O51" s="12"/>
      <c r="P51" s="25">
        <f>Таблица1[[#This Row],[Вес по  B\L]]+Таблица1[[#This Row],[Вес  на  борту   до  начала  грузовых операций ]]</f>
        <v>2788.9839999999999</v>
      </c>
      <c r="Q51" s="11" t="str">
        <f>CONCATENATE(Таблица1[[#This Row],[ТХ ]],"/",Таблица1[[#This Row],[Дата  составления  B\L]])</f>
        <v>т/х Дон Стар 5 ИМО 8955469/45997</v>
      </c>
      <c r="R51" s="45">
        <f>IF(YEAR(Таблица1[[#This Row],[Дата  составления  B\L]])=1900,"Нет Данных",YEAR(Таблица1[[#This Row],[Дата  составления  B\L]]))</f>
        <v>2025</v>
      </c>
      <c r="S51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1" s="45">
        <f>_xlfn.ISOWEEKNUM(Таблица1[[#This Row],[Дата  составления  B\L]])</f>
        <v>49</v>
      </c>
      <c r="U51" s="114">
        <f>IF(ISBLANK(Таблица1[[#This Row],[Дата  составления  B\L]]),DATE(1900,1,1),Таблица1[[#This Row],[Дата  составления  B\L]])</f>
        <v>45997</v>
      </c>
      <c r="W51"/>
      <c r="AA51"/>
      <c r="AB51"/>
      <c r="AC51"/>
      <c r="AE51"/>
      <c r="AF51"/>
      <c r="AG51"/>
      <c r="AH51"/>
      <c r="AI51"/>
      <c r="AL51"/>
    </row>
    <row r="52" spans="2:38" x14ac:dyDescent="0.3">
      <c r="B52" s="7" t="s">
        <v>23</v>
      </c>
      <c r="C52" s="8" t="s">
        <v>59</v>
      </c>
      <c r="D52" s="8" t="s">
        <v>22</v>
      </c>
      <c r="E52" s="12" t="s">
        <v>40</v>
      </c>
      <c r="F52" s="12">
        <v>4750</v>
      </c>
      <c r="G52" s="12">
        <v>4812.326</v>
      </c>
      <c r="H52" s="18"/>
      <c r="I52" s="18"/>
      <c r="J52" s="18"/>
      <c r="K52" s="22">
        <v>45999</v>
      </c>
      <c r="L52" s="9" t="s">
        <v>48</v>
      </c>
      <c r="M52" s="9" t="s">
        <v>46</v>
      </c>
      <c r="N52" s="9" t="s">
        <v>43</v>
      </c>
      <c r="O52" s="12"/>
      <c r="P52" s="25">
        <f>Таблица1[[#This Row],[Вес по  B\L]]+Таблица1[[#This Row],[Вес  на  борту   до  начала  грузовых операций ]]</f>
        <v>4812.326</v>
      </c>
      <c r="Q52" s="11" t="str">
        <f>CONCATENATE(Таблица1[[#This Row],[ТХ ]],"/",Таблица1[[#This Row],[Дата  составления  B\L]])</f>
        <v>Волго-Дон 5079 ИМО 8852784/45999</v>
      </c>
      <c r="R52" s="45">
        <f>IF(YEAR(Таблица1[[#This Row],[Дата  составления  B\L]])=1900,"Нет Данных",YEAR(Таблица1[[#This Row],[Дата  составления  B\L]]))</f>
        <v>2025</v>
      </c>
      <c r="S52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2" s="45">
        <f>_xlfn.ISOWEEKNUM(Таблица1[[#This Row],[Дата  составления  B\L]])</f>
        <v>50</v>
      </c>
      <c r="U52" s="114">
        <f>IF(ISBLANK(Таблица1[[#This Row],[Дата  составления  B\L]]),DATE(1900,1,1),Таблица1[[#This Row],[Дата  составления  B\L]])</f>
        <v>45999</v>
      </c>
      <c r="W52"/>
      <c r="AA52"/>
      <c r="AB52"/>
      <c r="AC52"/>
      <c r="AE52"/>
      <c r="AF52"/>
      <c r="AG52"/>
      <c r="AH52"/>
      <c r="AI52"/>
      <c r="AL52"/>
    </row>
    <row r="53" spans="2:38" x14ac:dyDescent="0.3">
      <c r="B53" s="7" t="s">
        <v>7</v>
      </c>
      <c r="C53" s="8" t="s">
        <v>59</v>
      </c>
      <c r="D53" s="8" t="s">
        <v>22</v>
      </c>
      <c r="E53" s="12" t="s">
        <v>40</v>
      </c>
      <c r="F53" s="12">
        <v>3300</v>
      </c>
      <c r="G53" s="12">
        <v>3214.2060000000001</v>
      </c>
      <c r="H53" s="18"/>
      <c r="I53" s="18"/>
      <c r="J53" s="18"/>
      <c r="K53" s="22">
        <v>46003</v>
      </c>
      <c r="L53" s="9" t="s">
        <v>48</v>
      </c>
      <c r="M53" s="9" t="s">
        <v>46</v>
      </c>
      <c r="N53" s="9" t="s">
        <v>43</v>
      </c>
      <c r="O53" s="12"/>
      <c r="P53" s="25">
        <f>Таблица1[[#This Row],[Вес по  B\L]]+Таблица1[[#This Row],[Вес  на  борту   до  начала  грузовых операций ]]</f>
        <v>3214.2060000000001</v>
      </c>
      <c r="Q53" s="11" t="str">
        <f>CONCATENATE(Таблица1[[#This Row],[ТХ ]],"/",Таблица1[[#This Row],[Дата  составления  B\L]])</f>
        <v>т/х Дон Стар 7 ИМО 8844153/46003</v>
      </c>
      <c r="R53" s="45">
        <f>IF(YEAR(Таблица1[[#This Row],[Дата  составления  B\L]])=1900,"Нет Данных",YEAR(Таблица1[[#This Row],[Дата  составления  B\L]]))</f>
        <v>2025</v>
      </c>
      <c r="S53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3" s="45">
        <f>_xlfn.ISOWEEKNUM(Таблица1[[#This Row],[Дата  составления  B\L]])</f>
        <v>50</v>
      </c>
      <c r="U53" s="114">
        <f>IF(ISBLANK(Таблица1[[#This Row],[Дата  составления  B\L]]),DATE(1900,1,1),Таблица1[[#This Row],[Дата  составления  B\L]])</f>
        <v>46003</v>
      </c>
      <c r="V53" s="13"/>
      <c r="W53" s="13"/>
      <c r="X53" s="13"/>
      <c r="Y53" s="13"/>
      <c r="AA53"/>
      <c r="AB53" s="27"/>
      <c r="AC53"/>
      <c r="AE53"/>
      <c r="AF53"/>
      <c r="AG53"/>
      <c r="AH53"/>
      <c r="AI53"/>
      <c r="AL53"/>
    </row>
    <row r="54" spans="2:38" x14ac:dyDescent="0.3">
      <c r="B54" s="7" t="s">
        <v>61</v>
      </c>
      <c r="C54" s="8" t="s">
        <v>67</v>
      </c>
      <c r="D54" s="8" t="s">
        <v>22</v>
      </c>
      <c r="E54" s="12" t="s">
        <v>40</v>
      </c>
      <c r="F54" s="12">
        <v>5000</v>
      </c>
      <c r="G54" s="12">
        <v>5007.8</v>
      </c>
      <c r="H54" s="18"/>
      <c r="I54" s="18"/>
      <c r="J54" s="18"/>
      <c r="K54" s="22">
        <v>46003</v>
      </c>
      <c r="L54" s="9" t="s">
        <v>62</v>
      </c>
      <c r="M54" s="9" t="s">
        <v>46</v>
      </c>
      <c r="N54" s="9" t="s">
        <v>51</v>
      </c>
      <c r="O54" s="12"/>
      <c r="P54" s="25">
        <f>Таблица1[[#This Row],[Вес по  B\L]]+Таблица1[[#This Row],[Вес  на  борту   до  начала  грузовых операций ]]</f>
        <v>5007.8</v>
      </c>
      <c r="Q54" s="11" t="str">
        <f>CONCATENATE(Таблица1[[#This Row],[ТХ ]],"/",Таблица1[[#This Row],[Дата  составления  B\L]])</f>
        <v xml:space="preserve"> т/х Ugah Confidence/46003</v>
      </c>
      <c r="R54" s="45">
        <f>IF(YEAR(Таблица1[[#This Row],[Дата  составления  B\L]])=1900,"Нет Данных",YEAR(Таблица1[[#This Row],[Дата  составления  B\L]]))</f>
        <v>2025</v>
      </c>
      <c r="S54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4" s="45">
        <f>_xlfn.ISOWEEKNUM(Таблица1[[#This Row],[Дата  составления  B\L]])</f>
        <v>50</v>
      </c>
      <c r="U54" s="114">
        <f>IF(ISBLANK(Таблица1[[#This Row],[Дата  составления  B\L]]),DATE(1900,1,1),Таблица1[[#This Row],[Дата  составления  B\L]])</f>
        <v>46003</v>
      </c>
      <c r="V54" s="13"/>
      <c r="W54" s="13"/>
      <c r="X54" s="13"/>
      <c r="Y54" s="13"/>
      <c r="AA54"/>
      <c r="AB54" s="27"/>
      <c r="AC54"/>
      <c r="AE54"/>
      <c r="AF54"/>
      <c r="AG54"/>
      <c r="AH54"/>
      <c r="AI54"/>
      <c r="AL54"/>
    </row>
    <row r="55" spans="2:38" x14ac:dyDescent="0.3">
      <c r="B55" s="7" t="s">
        <v>8</v>
      </c>
      <c r="C55" s="8" t="s">
        <v>32</v>
      </c>
      <c r="D55" s="8" t="s">
        <v>22</v>
      </c>
      <c r="E55" s="12" t="s">
        <v>40</v>
      </c>
      <c r="F55" s="12">
        <v>3300</v>
      </c>
      <c r="G55" s="12">
        <v>3269.0430000000001</v>
      </c>
      <c r="H55" s="18"/>
      <c r="I55" s="18"/>
      <c r="J55" s="18"/>
      <c r="K55" s="22">
        <v>46007</v>
      </c>
      <c r="L55" s="9" t="s">
        <v>48</v>
      </c>
      <c r="M55" s="9" t="s">
        <v>46</v>
      </c>
      <c r="N55" s="9" t="s">
        <v>43</v>
      </c>
      <c r="O55" s="12"/>
      <c r="P55" s="25">
        <f>Таблица1[[#This Row],[Вес по  B\L]]+Таблица1[[#This Row],[Вес  на  борту   до  начала  грузовых операций ]]</f>
        <v>3269.0430000000001</v>
      </c>
      <c r="Q55" s="11" t="str">
        <f>CONCATENATE(Таблица1[[#This Row],[ТХ ]],"/",Таблица1[[#This Row],[Дата  составления  B\L]])</f>
        <v>т/х Дон Стар 8 ИМО 8884957/46007</v>
      </c>
      <c r="R55" s="45">
        <f>IF(YEAR(Таблица1[[#This Row],[Дата  составления  B\L]])=1900,"Нет Данных",YEAR(Таблица1[[#This Row],[Дата  составления  B\L]]))</f>
        <v>2025</v>
      </c>
      <c r="S55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5" s="45">
        <f>_xlfn.ISOWEEKNUM(Таблица1[[#This Row],[Дата  составления  B\L]])</f>
        <v>51</v>
      </c>
      <c r="U55" s="114">
        <f>IF(ISBLANK(Таблица1[[#This Row],[Дата  составления  B\L]]),DATE(1900,1,1),Таблица1[[#This Row],[Дата  составления  B\L]])</f>
        <v>46007</v>
      </c>
      <c r="V55" s="13"/>
      <c r="W55" s="13"/>
      <c r="X55" s="13"/>
      <c r="Y55" s="13"/>
      <c r="AA55"/>
      <c r="AB55" s="27"/>
      <c r="AC55"/>
      <c r="AE55"/>
      <c r="AF55"/>
      <c r="AG55"/>
      <c r="AH55"/>
      <c r="AI55"/>
      <c r="AL55"/>
    </row>
    <row r="56" spans="2:38" x14ac:dyDescent="0.3">
      <c r="B56" s="7" t="s">
        <v>6</v>
      </c>
      <c r="C56" s="8" t="s">
        <v>59</v>
      </c>
      <c r="D56" s="8" t="s">
        <v>22</v>
      </c>
      <c r="E56" s="12" t="s">
        <v>40</v>
      </c>
      <c r="F56" s="12">
        <v>3300</v>
      </c>
      <c r="G56" s="12">
        <v>3249.9639999999999</v>
      </c>
      <c r="H56" s="18"/>
      <c r="I56" s="18"/>
      <c r="J56" s="18"/>
      <c r="K56" s="22">
        <v>46009</v>
      </c>
      <c r="L56" s="9" t="s">
        <v>48</v>
      </c>
      <c r="M56" s="9" t="s">
        <v>46</v>
      </c>
      <c r="N56" s="9" t="s">
        <v>43</v>
      </c>
      <c r="O56" s="12"/>
      <c r="P56" s="25">
        <f>Таблица1[[#This Row],[Вес по  B\L]]+Таблица1[[#This Row],[Вес  на  борту   до  начала  грузовых операций ]]</f>
        <v>3249.9639999999999</v>
      </c>
      <c r="Q56" s="11" t="str">
        <f>CONCATENATE(Таблица1[[#This Row],[ТХ ]],"/",Таблица1[[#This Row],[Дата  составления  B\L]])</f>
        <v>т/х Дон Стар 6 ИМО 8951396/46009</v>
      </c>
      <c r="R56" s="45">
        <f>IF(YEAR(Таблица1[[#This Row],[Дата  составления  B\L]])=1900,"Нет Данных",YEAR(Таблица1[[#This Row],[Дата  составления  B\L]]))</f>
        <v>2025</v>
      </c>
      <c r="S56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6" s="45">
        <f>_xlfn.ISOWEEKNUM(Таблица1[[#This Row],[Дата  составления  B\L]])</f>
        <v>51</v>
      </c>
      <c r="U56" s="114">
        <f>IF(ISBLANK(Таблица1[[#This Row],[Дата  составления  B\L]]),DATE(1900,1,1),Таблица1[[#This Row],[Дата  составления  B\L]])</f>
        <v>46009</v>
      </c>
      <c r="V56" s="13"/>
      <c r="W56" s="13"/>
      <c r="X56" s="13"/>
      <c r="Y56" s="13"/>
      <c r="AA56"/>
      <c r="AB56" s="27"/>
      <c r="AC56"/>
      <c r="AE56"/>
      <c r="AF56"/>
      <c r="AG56"/>
      <c r="AH56"/>
      <c r="AI56"/>
      <c r="AL56"/>
    </row>
    <row r="57" spans="2:38" x14ac:dyDescent="0.3">
      <c r="B57" s="7" t="s">
        <v>4</v>
      </c>
      <c r="C57" s="8" t="s">
        <v>59</v>
      </c>
      <c r="D57" s="8" t="s">
        <v>22</v>
      </c>
      <c r="E57" s="12" t="s">
        <v>40</v>
      </c>
      <c r="F57" s="12">
        <v>4050</v>
      </c>
      <c r="G57" s="12">
        <v>4012.3980000000001</v>
      </c>
      <c r="H57" s="18"/>
      <c r="I57" s="18"/>
      <c r="J57" s="18"/>
      <c r="K57" s="22">
        <v>46009</v>
      </c>
      <c r="L57" s="9" t="s">
        <v>48</v>
      </c>
      <c r="M57" s="9" t="s">
        <v>46</v>
      </c>
      <c r="N57" s="9" t="s">
        <v>43</v>
      </c>
      <c r="O57" s="12"/>
      <c r="P57" s="25">
        <f>Таблица1[[#This Row],[Вес по  B\L]]+Таблица1[[#This Row],[Вес  на  борту   до  начала  грузовых операций ]]</f>
        <v>4012.3980000000001</v>
      </c>
      <c r="Q57" s="11" t="str">
        <f>CONCATENATE(Таблица1[[#This Row],[ТХ ]],"/",Таблица1[[#This Row],[Дата  составления  B\L]])</f>
        <v>т/х Дон Стар 4 ИМО 7911478/46009</v>
      </c>
      <c r="R57" s="45">
        <f>IF(YEAR(Таблица1[[#This Row],[Дата  составления  B\L]])=1900,"Нет Данных",YEAR(Таблица1[[#This Row],[Дата  составления  B\L]]))</f>
        <v>2025</v>
      </c>
      <c r="S57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7" s="45">
        <f>_xlfn.ISOWEEKNUM(Таблица1[[#This Row],[Дата  составления  B\L]])</f>
        <v>51</v>
      </c>
      <c r="U57" s="114">
        <f>IF(ISBLANK(Таблица1[[#This Row],[Дата  составления  B\L]]),DATE(1900,1,1),Таблица1[[#This Row],[Дата  составления  B\L]])</f>
        <v>46009</v>
      </c>
      <c r="V57" s="13"/>
      <c r="W57" s="13"/>
      <c r="X57" s="13"/>
      <c r="Y57" s="13"/>
      <c r="AA57"/>
      <c r="AB57" s="27"/>
      <c r="AC57"/>
      <c r="AE57"/>
      <c r="AF57"/>
      <c r="AG57"/>
      <c r="AH57"/>
      <c r="AI57"/>
      <c r="AL57"/>
    </row>
    <row r="58" spans="2:38" x14ac:dyDescent="0.3">
      <c r="B58" s="7" t="s">
        <v>5</v>
      </c>
      <c r="C58" s="3" t="s">
        <v>59</v>
      </c>
      <c r="D58" s="8" t="s">
        <v>22</v>
      </c>
      <c r="E58" s="12" t="s">
        <v>40</v>
      </c>
      <c r="F58" s="12">
        <v>3300</v>
      </c>
      <c r="G58" s="12">
        <v>3179.6790000000001</v>
      </c>
      <c r="H58" s="18"/>
      <c r="I58" s="18"/>
      <c r="J58" s="18"/>
      <c r="K58" s="22">
        <v>46011</v>
      </c>
      <c r="L58" s="9" t="s">
        <v>48</v>
      </c>
      <c r="M58" s="9" t="s">
        <v>46</v>
      </c>
      <c r="N58" s="9" t="s">
        <v>43</v>
      </c>
      <c r="O58" s="12"/>
      <c r="P58" s="25">
        <f>Таблица1[[#This Row],[Вес по  B\L]]+Таблица1[[#This Row],[Вес  на  борту   до  начала  грузовых операций ]]</f>
        <v>3179.6790000000001</v>
      </c>
      <c r="Q58" s="11" t="str">
        <f>CONCATENATE(Таблица1[[#This Row],[ТХ ]],"/",Таблица1[[#This Row],[Дата  составления  B\L]])</f>
        <v>т/х Дон Стар 5 ИМО 8955469/46011</v>
      </c>
      <c r="R58" s="45">
        <f>IF(YEAR(Таблица1[[#This Row],[Дата  составления  B\L]])=1900,"Нет Данных",YEAR(Таблица1[[#This Row],[Дата  составления  B\L]]))</f>
        <v>2025</v>
      </c>
      <c r="S58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8" s="45">
        <f>_xlfn.ISOWEEKNUM(Таблица1[[#This Row],[Дата  составления  B\L]])</f>
        <v>51</v>
      </c>
      <c r="U58" s="114">
        <f>IF(ISBLANK(Таблица1[[#This Row],[Дата  составления  B\L]]),DATE(1900,1,1),Таблица1[[#This Row],[Дата  составления  B\L]])</f>
        <v>46011</v>
      </c>
      <c r="V58" s="13"/>
      <c r="W58" s="13"/>
      <c r="X58" s="13"/>
      <c r="Y58" s="13"/>
      <c r="AA58"/>
      <c r="AB58" s="27"/>
      <c r="AC58"/>
      <c r="AE58"/>
      <c r="AF58"/>
      <c r="AG58"/>
      <c r="AH58"/>
      <c r="AI58"/>
      <c r="AL58"/>
    </row>
    <row r="59" spans="2:38" x14ac:dyDescent="0.3">
      <c r="B59" s="7" t="s">
        <v>1</v>
      </c>
      <c r="C59" s="8" t="s">
        <v>59</v>
      </c>
      <c r="D59" s="8" t="s">
        <v>22</v>
      </c>
      <c r="E59" s="12" t="s">
        <v>40</v>
      </c>
      <c r="F59" s="12">
        <v>3300</v>
      </c>
      <c r="G59" s="12">
        <v>3300.29</v>
      </c>
      <c r="H59" s="18"/>
      <c r="I59" s="18"/>
      <c r="J59" s="18"/>
      <c r="K59" s="22">
        <v>46013</v>
      </c>
      <c r="L59" s="9" t="s">
        <v>48</v>
      </c>
      <c r="M59" s="9" t="s">
        <v>46</v>
      </c>
      <c r="N59" s="9" t="s">
        <v>43</v>
      </c>
      <c r="O59" s="12"/>
      <c r="P59" s="25">
        <f>Таблица1[[#This Row],[Вес по  B\L]]+Таблица1[[#This Row],[Вес  на  борту   до  начала  грузовых операций ]]</f>
        <v>3300.29</v>
      </c>
      <c r="Q59" s="11" t="str">
        <f>CONCATENATE(Таблица1[[#This Row],[ТХ ]],"/",Таблица1[[#This Row],[Дата  составления  B\L]])</f>
        <v>т/х Дон Стар 1 ИМО 8866735/46013</v>
      </c>
      <c r="R59" s="45">
        <f>IF(YEAR(Таблица1[[#This Row],[Дата  составления  B\L]])=1900,"Нет Данных",YEAR(Таблица1[[#This Row],[Дата  составления  B\L]]))</f>
        <v>2025</v>
      </c>
      <c r="S59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59" s="45">
        <f>_xlfn.ISOWEEKNUM(Таблица1[[#This Row],[Дата  составления  B\L]])</f>
        <v>52</v>
      </c>
      <c r="U59" s="114">
        <f>IF(ISBLANK(Таблица1[[#This Row],[Дата  составления  B\L]]),DATE(1900,1,1),Таблица1[[#This Row],[Дата  составления  B\L]])</f>
        <v>46013</v>
      </c>
      <c r="V59" s="13"/>
      <c r="W59" s="13"/>
      <c r="X59" s="13"/>
      <c r="Y59" s="13"/>
      <c r="AA59"/>
      <c r="AB59" s="27"/>
      <c r="AC59"/>
      <c r="AE59"/>
      <c r="AF59"/>
      <c r="AG59"/>
      <c r="AH59"/>
      <c r="AI59"/>
      <c r="AL59"/>
    </row>
    <row r="60" spans="2:38" x14ac:dyDescent="0.3">
      <c r="B60" s="7" t="s">
        <v>7</v>
      </c>
      <c r="C60" s="8" t="s">
        <v>59</v>
      </c>
      <c r="D60" s="8" t="s">
        <v>22</v>
      </c>
      <c r="E60" s="12" t="s">
        <v>40</v>
      </c>
      <c r="F60" s="12">
        <v>3300</v>
      </c>
      <c r="G60" s="12">
        <v>3209.933</v>
      </c>
      <c r="H60" s="18"/>
      <c r="I60" s="18"/>
      <c r="J60" s="18"/>
      <c r="K60" s="22">
        <v>46017</v>
      </c>
      <c r="L60" s="9" t="s">
        <v>48</v>
      </c>
      <c r="M60" s="9" t="s">
        <v>46</v>
      </c>
      <c r="N60" s="9" t="s">
        <v>43</v>
      </c>
      <c r="O60" s="12"/>
      <c r="P60" s="25">
        <f>Таблица1[[#This Row],[Вес по  B\L]]+Таблица1[[#This Row],[Вес  на  борту   до  начала  грузовых операций ]]</f>
        <v>3209.933</v>
      </c>
      <c r="Q60" s="11" t="str">
        <f>CONCATENATE(Таблица1[[#This Row],[ТХ ]],"/",Таблица1[[#This Row],[Дата  составления  B\L]])</f>
        <v>т/х Дон Стар 7 ИМО 8844153/46017</v>
      </c>
      <c r="R60" s="45">
        <f>IF(YEAR(Таблица1[[#This Row],[Дата  составления  B\L]])=1900,"Нет Данных",YEAR(Таблица1[[#This Row],[Дата  составления  B\L]]))</f>
        <v>2025</v>
      </c>
      <c r="S60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0" s="45">
        <f>_xlfn.ISOWEEKNUM(Таблица1[[#This Row],[Дата  составления  B\L]])</f>
        <v>52</v>
      </c>
      <c r="U60" s="114">
        <f>IF(ISBLANK(Таблица1[[#This Row],[Дата  составления  B\L]]),DATE(1900,1,1),Таблица1[[#This Row],[Дата  составления  B\L]])</f>
        <v>46017</v>
      </c>
      <c r="V60" s="13"/>
      <c r="W60" s="13"/>
      <c r="X60" s="13"/>
      <c r="Y60" s="13"/>
      <c r="AA60"/>
      <c r="AB60" s="27"/>
      <c r="AC60"/>
      <c r="AE60"/>
      <c r="AF60"/>
      <c r="AG60"/>
      <c r="AH60"/>
      <c r="AI60"/>
      <c r="AL60"/>
    </row>
    <row r="61" spans="2:38" x14ac:dyDescent="0.3">
      <c r="B61" s="7" t="s">
        <v>8</v>
      </c>
      <c r="C61" s="8" t="s">
        <v>59</v>
      </c>
      <c r="D61" s="8" t="s">
        <v>22</v>
      </c>
      <c r="E61" s="12" t="s">
        <v>40</v>
      </c>
      <c r="F61" s="12">
        <v>3300</v>
      </c>
      <c r="G61" s="12">
        <v>3299.9589999999998</v>
      </c>
      <c r="H61" s="18"/>
      <c r="I61" s="18"/>
      <c r="J61" s="18"/>
      <c r="K61" s="22">
        <v>46018</v>
      </c>
      <c r="L61" s="9" t="s">
        <v>48</v>
      </c>
      <c r="M61" s="9" t="s">
        <v>46</v>
      </c>
      <c r="N61" s="9" t="s">
        <v>43</v>
      </c>
      <c r="O61" s="12"/>
      <c r="P61" s="25">
        <f>Таблица1[[#This Row],[Вес по  B\L]]+Таблица1[[#This Row],[Вес  на  борту   до  начала  грузовых операций ]]</f>
        <v>3299.9589999999998</v>
      </c>
      <c r="Q61" s="11" t="str">
        <f>CONCATENATE(Таблица1[[#This Row],[ТХ ]],"/",Таблица1[[#This Row],[Дата  составления  B\L]])</f>
        <v>т/х Дон Стар 8 ИМО 8884957/46018</v>
      </c>
      <c r="R61" s="45">
        <f>IF(YEAR(Таблица1[[#This Row],[Дата  составления  B\L]])=1900,"Нет Данных",YEAR(Таблица1[[#This Row],[Дата  составления  B\L]]))</f>
        <v>2025</v>
      </c>
      <c r="S61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1" s="45">
        <f>_xlfn.ISOWEEKNUM(Таблица1[[#This Row],[Дата  составления  B\L]])</f>
        <v>52</v>
      </c>
      <c r="U61" s="114">
        <f>IF(ISBLANK(Таблица1[[#This Row],[Дата  составления  B\L]]),DATE(1900,1,1),Таблица1[[#This Row],[Дата  составления  B\L]])</f>
        <v>46018</v>
      </c>
      <c r="V61" s="13"/>
      <c r="W61" s="13"/>
      <c r="X61" s="13"/>
      <c r="Y61" s="13"/>
      <c r="AA61"/>
      <c r="AB61" s="27"/>
      <c r="AC61"/>
      <c r="AE61"/>
      <c r="AF61"/>
      <c r="AG61"/>
      <c r="AH61"/>
      <c r="AI61"/>
      <c r="AL61"/>
    </row>
    <row r="62" spans="2:38" x14ac:dyDescent="0.3">
      <c r="B62" s="7" t="s">
        <v>23</v>
      </c>
      <c r="C62" s="8" t="s">
        <v>59</v>
      </c>
      <c r="D62" s="8" t="s">
        <v>22</v>
      </c>
      <c r="E62" s="12" t="s">
        <v>40</v>
      </c>
      <c r="F62" s="12">
        <v>4750</v>
      </c>
      <c r="G62" s="12">
        <v>4756.8789999999999</v>
      </c>
      <c r="H62" s="18"/>
      <c r="I62" s="18"/>
      <c r="J62" s="18"/>
      <c r="K62" s="22">
        <v>46019</v>
      </c>
      <c r="L62" s="9" t="s">
        <v>48</v>
      </c>
      <c r="M62" s="9" t="s">
        <v>46</v>
      </c>
      <c r="N62" s="9" t="s">
        <v>43</v>
      </c>
      <c r="O62" s="12"/>
      <c r="P62" s="24">
        <f>Таблица1[[#This Row],[Вес по  B\L]]+Таблица1[[#This Row],[Вес  на  борту   до  начала  грузовых операций ]]</f>
        <v>4756.8789999999999</v>
      </c>
      <c r="Q62" s="11" t="str">
        <f>CONCATENATE(Таблица1[[#This Row],[ТХ ]],"/",Таблица1[[#This Row],[Дата  составления  B\L]])</f>
        <v>Волго-Дон 5079 ИМО 8852784/46019</v>
      </c>
      <c r="R62" s="45">
        <f>IF(YEAR(Таблица1[[#This Row],[Дата  составления  B\L]])=1900,"Нет Данных",YEAR(Таблица1[[#This Row],[Дата  составления  B\L]]))</f>
        <v>2025</v>
      </c>
      <c r="S62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2" s="45">
        <f>_xlfn.ISOWEEKNUM(Таблица1[[#This Row],[Дата  составления  B\L]])</f>
        <v>52</v>
      </c>
      <c r="U62" s="114">
        <f>IF(ISBLANK(Таблица1[[#This Row],[Дата  составления  B\L]]),DATE(1900,1,1),Таблица1[[#This Row],[Дата  составления  B\L]])</f>
        <v>46019</v>
      </c>
      <c r="V62" s="13"/>
      <c r="W62" s="13"/>
      <c r="X62" s="13"/>
      <c r="Y62" s="13"/>
      <c r="AA62"/>
      <c r="AB62" s="27"/>
      <c r="AC62"/>
      <c r="AE62"/>
      <c r="AF62"/>
      <c r="AG62"/>
      <c r="AH62"/>
      <c r="AI62"/>
      <c r="AL62"/>
    </row>
    <row r="63" spans="2:38" x14ac:dyDescent="0.3">
      <c r="B63" s="7" t="s">
        <v>2</v>
      </c>
      <c r="C63" s="8" t="s">
        <v>49</v>
      </c>
      <c r="D63" s="8" t="s">
        <v>22</v>
      </c>
      <c r="E63" s="12" t="s">
        <v>40</v>
      </c>
      <c r="F63" s="12">
        <v>4000</v>
      </c>
      <c r="G63" s="12">
        <v>3900</v>
      </c>
      <c r="H63" s="18"/>
      <c r="I63" s="18"/>
      <c r="J63" s="18"/>
      <c r="K63" s="22">
        <v>46020</v>
      </c>
      <c r="L63" s="9" t="s">
        <v>48</v>
      </c>
      <c r="M63" s="9" t="s">
        <v>46</v>
      </c>
      <c r="N63" s="9" t="s">
        <v>43</v>
      </c>
      <c r="O63" s="12"/>
      <c r="P63" s="24">
        <f>Таблица1[[#This Row],[Вес по  B\L]]+Таблица1[[#This Row],[Вес  на  борту   до  начала  грузовых операций ]]</f>
        <v>3900</v>
      </c>
      <c r="Q63" s="11" t="str">
        <f>CONCATENATE(Таблица1[[#This Row],[ТХ ]],"/",Таблица1[[#This Row],[Дата  составления  B\L]])</f>
        <v>т/х Дон Стар 2 ИМО 7911480/46020</v>
      </c>
      <c r="R63" s="45">
        <f>IF(YEAR(Таблица1[[#This Row],[Дата  составления  B\L]])=1900,"Нет Данных",YEAR(Таблица1[[#This Row],[Дата  составления  B\L]]))</f>
        <v>2025</v>
      </c>
      <c r="S63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3" s="45">
        <f>_xlfn.ISOWEEKNUM(Таблица1[[#This Row],[Дата  составления  B\L]])</f>
        <v>1</v>
      </c>
      <c r="U63" s="114">
        <f>IF(ISBLANK(Таблица1[[#This Row],[Дата  составления  B\L]]),DATE(1900,1,1),Таблица1[[#This Row],[Дата  составления  B\L]])</f>
        <v>46020</v>
      </c>
      <c r="V63" s="13"/>
      <c r="W63" s="13"/>
      <c r="X63" s="13"/>
      <c r="Y63" s="13"/>
      <c r="AA63"/>
      <c r="AB63" s="27"/>
      <c r="AC63"/>
      <c r="AE63"/>
      <c r="AF63"/>
      <c r="AG63"/>
      <c r="AH63"/>
      <c r="AI63"/>
      <c r="AL63"/>
    </row>
    <row r="64" spans="2:38" x14ac:dyDescent="0.3">
      <c r="B64" s="7" t="s">
        <v>5</v>
      </c>
      <c r="C64" s="8" t="s">
        <v>59</v>
      </c>
      <c r="D64" s="8" t="s">
        <v>22</v>
      </c>
      <c r="E64" s="12" t="s">
        <v>40</v>
      </c>
      <c r="F64" s="12">
        <v>3300</v>
      </c>
      <c r="G64" s="12">
        <v>3300.549</v>
      </c>
      <c r="H64" s="18"/>
      <c r="I64" s="18"/>
      <c r="J64" s="18"/>
      <c r="K64" s="22">
        <v>46022</v>
      </c>
      <c r="L64" s="9" t="s">
        <v>48</v>
      </c>
      <c r="M64" s="9" t="s">
        <v>46</v>
      </c>
      <c r="N64" s="9" t="s">
        <v>43</v>
      </c>
      <c r="O64" s="12"/>
      <c r="P64" s="24">
        <f>Таблица1[[#This Row],[Вес по  B\L]]+Таблица1[[#This Row],[Вес  на  борту   до  начала  грузовых операций ]]</f>
        <v>3300.549</v>
      </c>
      <c r="Q64" s="11" t="str">
        <f>CONCATENATE(Таблица1[[#This Row],[ТХ ]],"/",Таблица1[[#This Row],[Дата  составления  B\L]])</f>
        <v>т/х Дон Стар 5 ИМО 8955469/46022</v>
      </c>
      <c r="R64" s="45">
        <f>IF(YEAR(Таблица1[[#This Row],[Дата  составления  B\L]])=1900,"Нет Данных",YEAR(Таблица1[[#This Row],[Дата  составления  B\L]]))</f>
        <v>2025</v>
      </c>
      <c r="S64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4" s="45">
        <f>_xlfn.ISOWEEKNUM(Таблица1[[#This Row],[Дата  составления  B\L]])</f>
        <v>1</v>
      </c>
      <c r="U64" s="114">
        <f>IF(ISBLANK(Таблица1[[#This Row],[Дата  составления  B\L]]),DATE(1900,1,1),Таблица1[[#This Row],[Дата  составления  B\L]])</f>
        <v>46022</v>
      </c>
      <c r="V64" s="13"/>
      <c r="W64" s="13"/>
      <c r="X64" s="13"/>
      <c r="Y64" s="13"/>
      <c r="AA64"/>
      <c r="AB64" s="27"/>
      <c r="AC64"/>
      <c r="AE64"/>
      <c r="AF64"/>
      <c r="AG64"/>
      <c r="AH64"/>
      <c r="AI64"/>
      <c r="AL64"/>
    </row>
    <row r="65" spans="2:38" x14ac:dyDescent="0.3">
      <c r="B65" s="7" t="s">
        <v>6</v>
      </c>
      <c r="C65" s="8" t="s">
        <v>59</v>
      </c>
      <c r="D65" s="8" t="s">
        <v>22</v>
      </c>
      <c r="E65" s="12" t="s">
        <v>40</v>
      </c>
      <c r="F65" s="12">
        <v>3300</v>
      </c>
      <c r="G65" s="12">
        <v>3251.2559999999999</v>
      </c>
      <c r="H65" s="18"/>
      <c r="I65" s="18"/>
      <c r="J65" s="18"/>
      <c r="K65" s="22">
        <v>46025</v>
      </c>
      <c r="L65" s="9" t="s">
        <v>48</v>
      </c>
      <c r="M65" s="9" t="s">
        <v>46</v>
      </c>
      <c r="N65" s="9" t="s">
        <v>43</v>
      </c>
      <c r="O65" s="12"/>
      <c r="P65" s="24">
        <f>Таблица1[[#This Row],[Вес по  B\L]]+Таблица1[[#This Row],[Вес  на  борту   до  начала  грузовых операций ]]</f>
        <v>3251.2559999999999</v>
      </c>
      <c r="Q65" s="11" t="str">
        <f>CONCATENATE(Таблица1[[#This Row],[ТХ ]],"/",Таблица1[[#This Row],[Дата  составления  B\L]])</f>
        <v>т/х Дон Стар 6 ИМО 8951396/46025</v>
      </c>
      <c r="R65" s="45">
        <f>IF(YEAR(Таблица1[[#This Row],[Дата  составления  B\L]])=1900,"Нет Данных",YEAR(Таблица1[[#This Row],[Дата  составления  B\L]]))</f>
        <v>2026</v>
      </c>
      <c r="S65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65" s="45">
        <f>_xlfn.ISOWEEKNUM(Таблица1[[#This Row],[Дата  составления  B\L]])</f>
        <v>1</v>
      </c>
      <c r="U65" s="114">
        <f>IF(ISBLANK(Таблица1[[#This Row],[Дата  составления  B\L]]),DATE(1900,1,1),Таблица1[[#This Row],[Дата  составления  B\L]])</f>
        <v>46025</v>
      </c>
      <c r="V65" s="13"/>
      <c r="W65" s="13"/>
      <c r="X65" s="13"/>
      <c r="Y65" s="13"/>
      <c r="AA65"/>
      <c r="AB65" s="27"/>
      <c r="AC65"/>
      <c r="AE65"/>
      <c r="AF65"/>
      <c r="AG65"/>
      <c r="AH65"/>
      <c r="AI65"/>
      <c r="AL65"/>
    </row>
    <row r="66" spans="2:38" x14ac:dyDescent="0.3">
      <c r="B66" s="7" t="s">
        <v>64</v>
      </c>
      <c r="C66" s="8" t="s">
        <v>59</v>
      </c>
      <c r="D66" s="8" t="s">
        <v>22</v>
      </c>
      <c r="E66" s="12" t="s">
        <v>40</v>
      </c>
      <c r="F66" s="12">
        <v>4200</v>
      </c>
      <c r="G66" s="12">
        <v>4196.6220000000003</v>
      </c>
      <c r="H66" s="18"/>
      <c r="I66" s="18"/>
      <c r="J66" s="18"/>
      <c r="K66" s="22">
        <v>46021</v>
      </c>
      <c r="L66" s="9" t="s">
        <v>48</v>
      </c>
      <c r="M66" s="9" t="s">
        <v>46</v>
      </c>
      <c r="N66" s="9" t="s">
        <v>43</v>
      </c>
      <c r="O66" s="12"/>
      <c r="P66" s="24">
        <f>Таблица1[[#This Row],[Вес по  B\L]]+Таблица1[[#This Row],[Вес  на  борту   до  начала  грузовых операций ]]</f>
        <v>4196.6220000000003</v>
      </c>
      <c r="Q66" s="11" t="str">
        <f>CONCATENATE(Таблица1[[#This Row],[ТХ ]],"/",Таблица1[[#This Row],[Дата  составления  B\L]])</f>
        <v>т/х Волго-Дон 217 ИМО 8946377/46021</v>
      </c>
      <c r="R66" s="45">
        <f>IF(YEAR(Таблица1[[#This Row],[Дата  составления  B\L]])=1900,"Нет Данных",YEAR(Таблица1[[#This Row],[Дата  составления  B\L]]))</f>
        <v>2025</v>
      </c>
      <c r="S66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6" s="45">
        <f>_xlfn.ISOWEEKNUM(Таблица1[[#This Row],[Дата  составления  B\L]])</f>
        <v>1</v>
      </c>
      <c r="U66" s="114">
        <f>IF(ISBLANK(Таблица1[[#This Row],[Дата  составления  B\L]]),DATE(1900,1,1),Таблица1[[#This Row],[Дата  составления  B\L]])</f>
        <v>46021</v>
      </c>
      <c r="V66" s="13"/>
      <c r="W66" s="13"/>
      <c r="X66" s="13"/>
      <c r="Y66" s="13"/>
      <c r="AA66"/>
      <c r="AB66" s="27"/>
      <c r="AC66"/>
      <c r="AE66"/>
      <c r="AF66"/>
      <c r="AG66"/>
      <c r="AH66"/>
      <c r="AI66"/>
      <c r="AL66"/>
    </row>
    <row r="67" spans="2:38" x14ac:dyDescent="0.3">
      <c r="B67" s="7" t="s">
        <v>63</v>
      </c>
      <c r="C67" s="8" t="s">
        <v>59</v>
      </c>
      <c r="D67" s="8" t="s">
        <v>22</v>
      </c>
      <c r="E67" s="12" t="s">
        <v>40</v>
      </c>
      <c r="F67" s="12">
        <v>4200</v>
      </c>
      <c r="G67" s="12">
        <v>4159.9269999999997</v>
      </c>
      <c r="H67" s="18"/>
      <c r="I67" s="18"/>
      <c r="J67" s="18"/>
      <c r="K67" s="22">
        <v>46030</v>
      </c>
      <c r="L67" s="9" t="s">
        <v>48</v>
      </c>
      <c r="M67" s="9" t="s">
        <v>46</v>
      </c>
      <c r="N67" s="9" t="s">
        <v>43</v>
      </c>
      <c r="O67" s="12"/>
      <c r="P67" s="24">
        <f>Таблица1[[#This Row],[Вес по  B\L]]+Таблица1[[#This Row],[Вес  на  борту   до  начала  грузовых операций ]]</f>
        <v>4159.9269999999997</v>
      </c>
      <c r="Q67" s="11" t="str">
        <f>CONCATENATE(Таблица1[[#This Row],[ТХ ]],"/",Таблица1[[#This Row],[Дата  составления  B\L]])</f>
        <v>т/х В.Успенский   ИМО 8946389/46030</v>
      </c>
      <c r="R67" s="45">
        <f>IF(YEAR(Таблица1[[#This Row],[Дата  составления  B\L]])=1900,"Нет Данных",YEAR(Таблица1[[#This Row],[Дата  составления  B\L]]))</f>
        <v>2026</v>
      </c>
      <c r="S67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67" s="45">
        <f>_xlfn.ISOWEEKNUM(Таблица1[[#This Row],[Дата  составления  B\L]])</f>
        <v>2</v>
      </c>
      <c r="U67" s="114">
        <f>IF(ISBLANK(Таблица1[[#This Row],[Дата  составления  B\L]]),DATE(1900,1,1),Таблица1[[#This Row],[Дата  составления  B\L]])</f>
        <v>46030</v>
      </c>
      <c r="V67" s="13"/>
      <c r="W67" s="13"/>
      <c r="X67" s="13"/>
      <c r="Y67" s="13"/>
      <c r="AA67"/>
      <c r="AB67" s="27"/>
      <c r="AC67"/>
      <c r="AE67"/>
      <c r="AF67"/>
      <c r="AG67"/>
      <c r="AH67"/>
      <c r="AI67"/>
      <c r="AL67"/>
    </row>
    <row r="68" spans="2:38" x14ac:dyDescent="0.3">
      <c r="B68" s="7" t="s">
        <v>3</v>
      </c>
      <c r="C68" s="8" t="s">
        <v>49</v>
      </c>
      <c r="D68" s="8" t="s">
        <v>22</v>
      </c>
      <c r="E68" s="12" t="s">
        <v>40</v>
      </c>
      <c r="F68" s="12">
        <v>4000</v>
      </c>
      <c r="G68" s="12">
        <v>3992.37</v>
      </c>
      <c r="H68" s="18"/>
      <c r="I68" s="18"/>
      <c r="J68" s="18"/>
      <c r="K68" s="22">
        <v>46025</v>
      </c>
      <c r="L68" s="9" t="s">
        <v>62</v>
      </c>
      <c r="M68" s="9" t="s">
        <v>47</v>
      </c>
      <c r="N68" s="9"/>
      <c r="O68" s="12"/>
      <c r="P68" s="24">
        <f>Таблица1[[#This Row],[Вес по  B\L]]+Таблица1[[#This Row],[Вес  на  борту   до  начала  грузовых операций ]]</f>
        <v>3992.37</v>
      </c>
      <c r="Q68" s="11" t="str">
        <f>CONCATENATE(Таблица1[[#This Row],[ТХ ]],"/",Таблица1[[#This Row],[Дата  составления  B\L]])</f>
        <v>т/х Дон Стар 3 ИМО 7911507/46025</v>
      </c>
      <c r="R68" s="45">
        <f>IF(YEAR(Таблица1[[#This Row],[Дата  составления  B\L]])=1900,"Нет Данных",YEAR(Таблица1[[#This Row],[Дата  составления  B\L]]))</f>
        <v>2026</v>
      </c>
      <c r="S68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68" s="45">
        <f>_xlfn.ISOWEEKNUM(Таблица1[[#This Row],[Дата  составления  B\L]])</f>
        <v>1</v>
      </c>
      <c r="U68" s="114">
        <f>IF(ISBLANK(Таблица1[[#This Row],[Дата  составления  B\L]]),DATE(1900,1,1),Таблица1[[#This Row],[Дата  составления  B\L]])</f>
        <v>46025</v>
      </c>
      <c r="V68" s="13"/>
      <c r="W68" s="13"/>
      <c r="X68" s="13"/>
      <c r="Y68" s="13"/>
      <c r="AA68"/>
      <c r="AB68" s="27"/>
      <c r="AC68"/>
      <c r="AE68"/>
      <c r="AF68"/>
      <c r="AG68"/>
      <c r="AH68"/>
      <c r="AI68"/>
      <c r="AL68"/>
    </row>
    <row r="69" spans="2:38" x14ac:dyDescent="0.3">
      <c r="B69" s="7" t="s">
        <v>65</v>
      </c>
      <c r="C69" s="8" t="s">
        <v>49</v>
      </c>
      <c r="D69" s="8" t="s">
        <v>22</v>
      </c>
      <c r="E69" s="12" t="s">
        <v>40</v>
      </c>
      <c r="F69" s="12">
        <v>5000</v>
      </c>
      <c r="G69" s="12">
        <v>4750.28</v>
      </c>
      <c r="H69" s="18"/>
      <c r="I69" s="18"/>
      <c r="J69" s="18"/>
      <c r="K69" s="22">
        <v>46022</v>
      </c>
      <c r="L69" s="9" t="s">
        <v>66</v>
      </c>
      <c r="M69" s="9" t="s">
        <v>46</v>
      </c>
      <c r="N69" s="9"/>
      <c r="O69" s="12"/>
      <c r="P69" s="24">
        <f>Таблица1[[#This Row],[Вес по  B\L]]+Таблица1[[#This Row],[Вес  на  борту   до  начала  грузовых операций ]]</f>
        <v>4750.28</v>
      </c>
      <c r="Q69" s="11" t="str">
        <f>CONCATENATE(Таблица1[[#This Row],[ТХ ]],"/",Таблица1[[#This Row],[Дата  составления  B\L]])</f>
        <v xml:space="preserve"> т/х Н.Мешков ИМО 8862507/46022</v>
      </c>
      <c r="R69" s="45">
        <f>IF(YEAR(Таблица1[[#This Row],[Дата  составления  B\L]])=1900,"Нет Данных",YEAR(Таблица1[[#This Row],[Дата  составления  B\L]]))</f>
        <v>2025</v>
      </c>
      <c r="S69" s="45" t="str">
        <f>IF(TEXT(Таблица1[[#This Row],[Дата  составления  B\L]],"ММММ")=1900,"Нет Данных",TEXT(Таблица1[[#This Row],[Дата  составления  B\L]],"ММММ"))</f>
        <v>Декабрь</v>
      </c>
      <c r="T69" s="45">
        <f>_xlfn.ISOWEEKNUM(Таблица1[[#This Row],[Дата  составления  B\L]])</f>
        <v>1</v>
      </c>
      <c r="U69" s="114">
        <f>IF(ISBLANK(Таблица1[[#This Row],[Дата  составления  B\L]]),DATE(1900,1,1),Таблица1[[#This Row],[Дата  составления  B\L]])</f>
        <v>46022</v>
      </c>
      <c r="V69" s="13"/>
      <c r="W69" s="13"/>
      <c r="X69" s="13"/>
      <c r="Y69" s="13"/>
      <c r="AA69"/>
      <c r="AB69" s="27"/>
      <c r="AC69"/>
      <c r="AE69"/>
      <c r="AF69"/>
      <c r="AG69"/>
      <c r="AH69"/>
      <c r="AI69"/>
      <c r="AL69"/>
    </row>
    <row r="70" spans="2:38" x14ac:dyDescent="0.3">
      <c r="B70" s="7" t="s">
        <v>4</v>
      </c>
      <c r="C70" s="8" t="s">
        <v>59</v>
      </c>
      <c r="D70" s="8" t="s">
        <v>22</v>
      </c>
      <c r="E70" s="12" t="s">
        <v>40</v>
      </c>
      <c r="F70" s="12">
        <v>4000</v>
      </c>
      <c r="G70" s="12">
        <v>4055.2460000000001</v>
      </c>
      <c r="H70" s="18"/>
      <c r="I70" s="18"/>
      <c r="J70" s="18"/>
      <c r="K70" s="22">
        <v>46035</v>
      </c>
      <c r="L70" s="9" t="s">
        <v>48</v>
      </c>
      <c r="M70" s="9" t="s">
        <v>46</v>
      </c>
      <c r="N70" s="9" t="s">
        <v>43</v>
      </c>
      <c r="O70" s="12"/>
      <c r="P70" s="24">
        <f>Таблица1[[#This Row],[Вес по  B\L]]+Таблица1[[#This Row],[Вес  на  борту   до  начала  грузовых операций ]]</f>
        <v>4055.2460000000001</v>
      </c>
      <c r="Q70" s="11" t="str">
        <f>CONCATENATE(Таблица1[[#This Row],[ТХ ]],"/",Таблица1[[#This Row],[Дата  составления  B\L]])</f>
        <v>т/х Дон Стар 4 ИМО 7911478/46035</v>
      </c>
      <c r="R70" s="45">
        <f>IF(YEAR(Таблица1[[#This Row],[Дата  составления  B\L]])=1900,"Нет Данных",YEAR(Таблица1[[#This Row],[Дата  составления  B\L]]))</f>
        <v>2026</v>
      </c>
      <c r="S70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0" s="45">
        <f>_xlfn.ISOWEEKNUM(Таблица1[[#This Row],[Дата  составления  B\L]])</f>
        <v>3</v>
      </c>
      <c r="U70" s="114">
        <f>IF(ISBLANK(Таблица1[[#This Row],[Дата  составления  B\L]]),DATE(1900,1,1),Таблица1[[#This Row],[Дата  составления  B\L]])</f>
        <v>46035</v>
      </c>
      <c r="V70" s="13"/>
      <c r="W70" s="13"/>
      <c r="X70" s="13"/>
      <c r="Y70" s="13"/>
      <c r="AA70"/>
      <c r="AB70" s="27"/>
      <c r="AC70"/>
      <c r="AE70"/>
      <c r="AF70"/>
      <c r="AG70"/>
      <c r="AH70"/>
      <c r="AI70"/>
      <c r="AL70"/>
    </row>
    <row r="71" spans="2:38" x14ac:dyDescent="0.3">
      <c r="B71" s="7" t="s">
        <v>1</v>
      </c>
      <c r="C71" s="8" t="s">
        <v>59</v>
      </c>
      <c r="D71" s="8" t="s">
        <v>22</v>
      </c>
      <c r="E71" s="12" t="s">
        <v>40</v>
      </c>
      <c r="F71" s="12">
        <v>3300</v>
      </c>
      <c r="G71" s="12">
        <v>3103.1849999999999</v>
      </c>
      <c r="H71" s="18"/>
      <c r="I71" s="18"/>
      <c r="J71" s="18"/>
      <c r="K71" s="22">
        <v>46039</v>
      </c>
      <c r="L71" s="9" t="s">
        <v>48</v>
      </c>
      <c r="M71" s="9" t="s">
        <v>46</v>
      </c>
      <c r="N71" s="9" t="s">
        <v>43</v>
      </c>
      <c r="O71" s="12"/>
      <c r="P71" s="24">
        <f>Таблица1[[#This Row],[Вес по  B\L]]+Таблица1[[#This Row],[Вес  на  борту   до  начала  грузовых операций ]]</f>
        <v>3103.1849999999999</v>
      </c>
      <c r="Q71" s="11" t="str">
        <f>CONCATENATE(Таблица1[[#This Row],[ТХ ]],"/",Таблица1[[#This Row],[Дата  составления  B\L]])</f>
        <v>т/х Дон Стар 1 ИМО 8866735/46039</v>
      </c>
      <c r="R71" s="45">
        <f>IF(YEAR(Таблица1[[#This Row],[Дата  составления  B\L]])=1900,"Нет Данных",YEAR(Таблица1[[#This Row],[Дата  составления  B\L]]))</f>
        <v>2026</v>
      </c>
      <c r="S71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1" s="45">
        <f>_xlfn.ISOWEEKNUM(Таблица1[[#This Row],[Дата  составления  B\L]])</f>
        <v>3</v>
      </c>
      <c r="U71" s="114">
        <f>IF(ISBLANK(Таблица1[[#This Row],[Дата  составления  B\L]]),DATE(1900,1,1),Таблица1[[#This Row],[Дата  составления  B\L]])</f>
        <v>46039</v>
      </c>
      <c r="W71"/>
      <c r="X71" s="19"/>
      <c r="Y71" s="19"/>
      <c r="Z71" s="19"/>
      <c r="AA71"/>
      <c r="AB71" s="13"/>
      <c r="AC71" s="13"/>
      <c r="AD71" s="13"/>
      <c r="AG71"/>
      <c r="AH71"/>
      <c r="AI71" s="27"/>
      <c r="AL71"/>
    </row>
    <row r="72" spans="2:38" x14ac:dyDescent="0.3">
      <c r="B72" s="7" t="s">
        <v>7</v>
      </c>
      <c r="C72" s="8" t="s">
        <v>49</v>
      </c>
      <c r="D72" s="8" t="s">
        <v>22</v>
      </c>
      <c r="E72" s="12" t="s">
        <v>40</v>
      </c>
      <c r="F72" s="12">
        <v>3300</v>
      </c>
      <c r="G72" s="12">
        <v>3029.04</v>
      </c>
      <c r="H72" s="18"/>
      <c r="I72" s="18"/>
      <c r="J72" s="18"/>
      <c r="K72" s="22">
        <v>46035</v>
      </c>
      <c r="L72" s="9" t="s">
        <v>66</v>
      </c>
      <c r="M72" s="9" t="s">
        <v>46</v>
      </c>
      <c r="N72" s="9" t="s">
        <v>43</v>
      </c>
      <c r="O72" s="12"/>
      <c r="P72" s="24">
        <f>Таблица1[[#This Row],[Вес по  B\L]]+Таблица1[[#This Row],[Вес  на  борту   до  начала  грузовых операций ]]</f>
        <v>3029.04</v>
      </c>
      <c r="Q72" s="11" t="str">
        <f>CONCATENATE(Таблица1[[#This Row],[ТХ ]],"/",Таблица1[[#This Row],[Дата  составления  B\L]])</f>
        <v>т/х Дон Стар 7 ИМО 8844153/46035</v>
      </c>
      <c r="R72" s="45">
        <f>IF(YEAR(Таблица1[[#This Row],[Дата  составления  B\L]])=1900,"Нет Данных",YEAR(Таблица1[[#This Row],[Дата  составления  B\L]]))</f>
        <v>2026</v>
      </c>
      <c r="S72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2" s="45">
        <f>_xlfn.ISOWEEKNUM(Таблица1[[#This Row],[Дата  составления  B\L]])</f>
        <v>3</v>
      </c>
      <c r="U72" s="114">
        <f>IF(ISBLANK(Таблица1[[#This Row],[Дата  составления  B\L]]),DATE(1900,1,1),Таблица1[[#This Row],[Дата  составления  B\L]])</f>
        <v>46035</v>
      </c>
      <c r="W72"/>
      <c r="X72" s="19"/>
      <c r="Y72" s="19"/>
      <c r="Z72" s="19"/>
      <c r="AA72"/>
      <c r="AB72" s="13"/>
      <c r="AC72" s="13"/>
      <c r="AD72" s="13"/>
      <c r="AG72"/>
      <c r="AH72"/>
      <c r="AI72" s="27"/>
      <c r="AL72"/>
    </row>
    <row r="73" spans="2:38" x14ac:dyDescent="0.3">
      <c r="B73" s="7" t="s">
        <v>2</v>
      </c>
      <c r="C73" s="8" t="s">
        <v>54</v>
      </c>
      <c r="D73" s="8" t="s">
        <v>22</v>
      </c>
      <c r="E73" s="12" t="s">
        <v>40</v>
      </c>
      <c r="F73" s="12">
        <v>4000</v>
      </c>
      <c r="G73" s="12">
        <v>4011.3440000000001</v>
      </c>
      <c r="H73" s="18"/>
      <c r="I73" s="18"/>
      <c r="J73" s="18"/>
      <c r="K73" s="22">
        <v>46035</v>
      </c>
      <c r="L73" s="9" t="s">
        <v>48</v>
      </c>
      <c r="M73" s="12" t="s">
        <v>46</v>
      </c>
      <c r="N73" s="9"/>
      <c r="O73" s="12"/>
      <c r="P73" s="25">
        <f>Таблица1[[#This Row],[Вес по  B\L]]+Таблица1[[#This Row],[Вес  на  борту   до  начала  грузовых операций ]]</f>
        <v>4011.3440000000001</v>
      </c>
      <c r="Q73" s="11" t="str">
        <f>CONCATENATE(Таблица1[[#This Row],[ТХ ]],"/",Таблица1[[#This Row],[Дата  составления  B\L]])</f>
        <v>т/х Дон Стар 2 ИМО 7911480/46035</v>
      </c>
      <c r="R73" s="45">
        <f>IF(YEAR(Таблица1[[#This Row],[Дата  составления  B\L]])=1900,"Нет Данных",YEAR(Таблица1[[#This Row],[Дата  составления  B\L]]))</f>
        <v>2026</v>
      </c>
      <c r="S73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3" s="45">
        <f>_xlfn.ISOWEEKNUM(Таблица1[[#This Row],[Дата  составления  B\L]])</f>
        <v>3</v>
      </c>
      <c r="U73" s="114">
        <f>IF(ISBLANK(Таблица1[[#This Row],[Дата  составления  B\L]]),DATE(1900,1,1),Таблица1[[#This Row],[Дата  составления  B\L]])</f>
        <v>46035</v>
      </c>
      <c r="W73"/>
      <c r="X73" s="19"/>
      <c r="Y73" s="19"/>
      <c r="Z73" s="19"/>
      <c r="AA73"/>
      <c r="AB73" s="13"/>
      <c r="AC73" s="13"/>
      <c r="AD73" s="13"/>
      <c r="AG73"/>
      <c r="AH73"/>
      <c r="AI73" s="27"/>
      <c r="AL73"/>
    </row>
    <row r="74" spans="2:38" x14ac:dyDescent="0.3">
      <c r="B74" s="7" t="s">
        <v>5</v>
      </c>
      <c r="C74" s="8" t="s">
        <v>49</v>
      </c>
      <c r="D74" s="8" t="s">
        <v>22</v>
      </c>
      <c r="E74" s="12" t="s">
        <v>40</v>
      </c>
      <c r="F74" s="12">
        <v>3300</v>
      </c>
      <c r="G74" s="12">
        <v>3008.0459999999998</v>
      </c>
      <c r="H74" s="18"/>
      <c r="I74" s="18"/>
      <c r="J74" s="18"/>
      <c r="K74" s="22">
        <v>46049</v>
      </c>
      <c r="L74" s="9" t="s">
        <v>48</v>
      </c>
      <c r="M74" s="12" t="s">
        <v>46</v>
      </c>
      <c r="N74" s="9"/>
      <c r="O74" s="12"/>
      <c r="P74" s="25">
        <f>Таблица1[[#This Row],[Вес по  B\L]]+Таблица1[[#This Row],[Вес  на  борту   до  начала  грузовых операций ]]</f>
        <v>3008.0459999999998</v>
      </c>
      <c r="Q74" s="11" t="str">
        <f>CONCATENATE(Таблица1[[#This Row],[ТХ ]],"/",Таблица1[[#This Row],[Дата  составления  B\L]])</f>
        <v>т/х Дон Стар 5 ИМО 8955469/46049</v>
      </c>
      <c r="R74" s="45">
        <f>IF(YEAR(Таблица1[[#This Row],[Дата  составления  B\L]])=1900,"Нет Данных",YEAR(Таблица1[[#This Row],[Дата  составления  B\L]]))</f>
        <v>2026</v>
      </c>
      <c r="S74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4" s="45">
        <f>_xlfn.ISOWEEKNUM(Таблица1[[#This Row],[Дата  составления  B\L]])</f>
        <v>5</v>
      </c>
      <c r="U74" s="114">
        <f>IF(ISBLANK(Таблица1[[#This Row],[Дата  составления  B\L]]),DATE(1900,1,1),Таблица1[[#This Row],[Дата  составления  B\L]])</f>
        <v>46049</v>
      </c>
      <c r="W74"/>
      <c r="X74" s="19"/>
      <c r="Y74" s="19"/>
      <c r="Z74" s="19"/>
      <c r="AA74"/>
      <c r="AB74" s="13"/>
      <c r="AC74" s="13"/>
      <c r="AD74" s="13"/>
      <c r="AG74"/>
      <c r="AH74"/>
      <c r="AI74" s="27"/>
      <c r="AL74"/>
    </row>
    <row r="75" spans="2:38" x14ac:dyDescent="0.3">
      <c r="B75" s="7" t="s">
        <v>6</v>
      </c>
      <c r="C75" s="8" t="s">
        <v>207</v>
      </c>
      <c r="D75" s="8" t="s">
        <v>22</v>
      </c>
      <c r="E75" s="12" t="s">
        <v>40</v>
      </c>
      <c r="F75" s="12">
        <v>3300</v>
      </c>
      <c r="G75" s="12">
        <v>3080.8</v>
      </c>
      <c r="H75" s="18"/>
      <c r="I75" s="18"/>
      <c r="J75" s="18"/>
      <c r="K75" s="22">
        <v>46038</v>
      </c>
      <c r="L75" s="9" t="s">
        <v>48</v>
      </c>
      <c r="M75" s="12" t="s">
        <v>46</v>
      </c>
      <c r="N75" s="9"/>
      <c r="O75" s="12"/>
      <c r="P75" s="25">
        <f>Таблица1[[#This Row],[Вес по  B\L]]+Таблица1[[#This Row],[Вес  на  борту   до  начала  грузовых операций ]]</f>
        <v>3080.8</v>
      </c>
      <c r="Q75" s="11" t="str">
        <f>CONCATENATE(Таблица1[[#This Row],[ТХ ]],"/",Таблица1[[#This Row],[Дата  составления  B\L]])</f>
        <v>т/х Дон Стар 6 ИМО 8951396/46038</v>
      </c>
      <c r="R75" s="45">
        <f>IF(YEAR(Таблица1[[#This Row],[Дата  составления  B\L]])=1900,"Нет Данных",YEAR(Таблица1[[#This Row],[Дата  составления  B\L]]))</f>
        <v>2026</v>
      </c>
      <c r="S75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5" s="45">
        <f>_xlfn.ISOWEEKNUM(Таблица1[[#This Row],[Дата  составления  B\L]])</f>
        <v>3</v>
      </c>
      <c r="U75" s="114">
        <f>IF(ISBLANK(Таблица1[[#This Row],[Дата  составления  B\L]]),DATE(1900,1,1),Таблица1[[#This Row],[Дата  составления  B\L]])</f>
        <v>46038</v>
      </c>
      <c r="W75"/>
      <c r="X75" s="19"/>
      <c r="Y75" s="19"/>
      <c r="Z75" s="19"/>
      <c r="AA75"/>
      <c r="AB75" s="13"/>
      <c r="AC75" s="13"/>
      <c r="AD75" s="13"/>
      <c r="AG75"/>
      <c r="AH75"/>
      <c r="AI75" s="27"/>
      <c r="AL75"/>
    </row>
    <row r="76" spans="2:38" x14ac:dyDescent="0.3">
      <c r="B76" s="7" t="s">
        <v>83</v>
      </c>
      <c r="C76" s="8" t="s">
        <v>67</v>
      </c>
      <c r="D76" s="8" t="s">
        <v>22</v>
      </c>
      <c r="E76" s="12" t="s">
        <v>40</v>
      </c>
      <c r="F76" s="12">
        <v>5500</v>
      </c>
      <c r="G76" s="12">
        <v>5267</v>
      </c>
      <c r="H76" s="18"/>
      <c r="I76" s="18"/>
      <c r="J76" s="18"/>
      <c r="K76" s="22">
        <v>46034</v>
      </c>
      <c r="L76" s="9" t="s">
        <v>62</v>
      </c>
      <c r="M76" s="12" t="s">
        <v>47</v>
      </c>
      <c r="N76" s="9"/>
      <c r="O76" s="12"/>
      <c r="P76" s="25">
        <f>Таблица1[[#This Row],[Вес по  B\L]]+Таблица1[[#This Row],[Вес  на  борту   до  начала  грузовых операций ]]</f>
        <v>5267</v>
      </c>
      <c r="Q76" s="11" t="str">
        <f>CONCATENATE(Таблица1[[#This Row],[ТХ ]],"/",Таблица1[[#This Row],[Дата  составления  B\L]])</f>
        <v xml:space="preserve"> т/х Волжский 33 ИМО 8955641/46034</v>
      </c>
      <c r="R76" s="45">
        <f>IF(YEAR(Таблица1[[#This Row],[Дата  составления  B\L]])=1900,"Нет Данных",YEAR(Таблица1[[#This Row],[Дата  составления  B\L]]))</f>
        <v>2026</v>
      </c>
      <c r="S76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6" s="45">
        <f>_xlfn.ISOWEEKNUM(Таблица1[[#This Row],[Дата  составления  B\L]])</f>
        <v>3</v>
      </c>
      <c r="U76" s="114">
        <f>IF(ISBLANK(Таблица1[[#This Row],[Дата  составления  B\L]]),DATE(1900,1,1),Таблица1[[#This Row],[Дата  составления  B\L]])</f>
        <v>46034</v>
      </c>
      <c r="W76"/>
      <c r="X76" s="19"/>
      <c r="Y76" s="19"/>
      <c r="Z76" s="19"/>
      <c r="AA76"/>
      <c r="AB76" s="13"/>
      <c r="AC76" s="13"/>
      <c r="AD76" s="13"/>
      <c r="AG76"/>
      <c r="AH76"/>
      <c r="AI76" s="27"/>
      <c r="AL76"/>
    </row>
    <row r="77" spans="2:38" x14ac:dyDescent="0.3">
      <c r="B77" s="7" t="s">
        <v>63</v>
      </c>
      <c r="C77" s="8" t="s">
        <v>59</v>
      </c>
      <c r="D77" s="8" t="s">
        <v>22</v>
      </c>
      <c r="E77" s="12" t="s">
        <v>40</v>
      </c>
      <c r="F77" s="12">
        <v>4200</v>
      </c>
      <c r="G77" s="12">
        <v>4300.5600000000004</v>
      </c>
      <c r="H77" s="18"/>
      <c r="I77" s="18"/>
      <c r="J77" s="18"/>
      <c r="K77" s="22">
        <v>46054</v>
      </c>
      <c r="L77" s="9" t="s">
        <v>48</v>
      </c>
      <c r="M77" s="12" t="s">
        <v>46</v>
      </c>
      <c r="N77" s="9"/>
      <c r="O77" s="12"/>
      <c r="P77" s="25">
        <f>Таблица1[[#This Row],[Вес по  B\L]]+Таблица1[[#This Row],[Вес  на  борту   до  начала  грузовых операций ]]</f>
        <v>4300.5600000000004</v>
      </c>
      <c r="Q77" s="12" t="str">
        <f>CONCATENATE(Таблица1[[#This Row],[ТХ ]],"/",Таблица1[[#This Row],[Дата  составления  B\L]])</f>
        <v>т/х В.Успенский   ИМО 8946389/46054</v>
      </c>
      <c r="R77" s="45">
        <f>IF(YEAR(Таблица1[[#This Row],[Дата  составления  B\L]])=1900,"Нет Данных",YEAR(Таблица1[[#This Row],[Дата  составления  B\L]]))</f>
        <v>2026</v>
      </c>
      <c r="S77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77" s="45">
        <f>_xlfn.ISOWEEKNUM(Таблица1[[#This Row],[Дата  составления  B\L]])</f>
        <v>5</v>
      </c>
      <c r="U77" s="114">
        <f>IF(ISBLANK(Таблица1[[#This Row],[Дата  составления  B\L]]),DATE(1900,1,1),Таблица1[[#This Row],[Дата  составления  B\L]])</f>
        <v>46054</v>
      </c>
      <c r="W77"/>
      <c r="X77" s="19"/>
      <c r="Y77" s="19"/>
      <c r="Z77" s="19"/>
      <c r="AA77"/>
      <c r="AB77" s="13"/>
      <c r="AC77" s="13"/>
      <c r="AD77" s="13"/>
      <c r="AG77"/>
      <c r="AH77"/>
      <c r="AI77" s="27"/>
      <c r="AL77"/>
    </row>
    <row r="78" spans="2:38" x14ac:dyDescent="0.3">
      <c r="B78" s="7" t="s">
        <v>4</v>
      </c>
      <c r="C78" s="8" t="s">
        <v>49</v>
      </c>
      <c r="D78" s="8" t="s">
        <v>22</v>
      </c>
      <c r="E78" s="12" t="s">
        <v>40</v>
      </c>
      <c r="F78" s="12">
        <v>4000</v>
      </c>
      <c r="G78" s="12">
        <v>3123.0990000000002</v>
      </c>
      <c r="H78" s="18"/>
      <c r="I78" s="18"/>
      <c r="J78" s="18"/>
      <c r="K78" s="22">
        <v>46056</v>
      </c>
      <c r="L78" s="9" t="s">
        <v>66</v>
      </c>
      <c r="M78" s="12" t="s">
        <v>46</v>
      </c>
      <c r="N78" s="45"/>
      <c r="O78" s="12"/>
      <c r="P78" s="25">
        <f>Таблица1[[#This Row],[Вес по  B\L]]+Таблица1[[#This Row],[Вес  на  борту   до  начала  грузовых операций ]]</f>
        <v>3123.0990000000002</v>
      </c>
      <c r="Q78" s="12" t="str">
        <f>CONCATENATE(Таблица1[[#This Row],[ТХ ]],"/",Таблица1[[#This Row],[Дата  составления  B\L]])</f>
        <v>т/х Дон Стар 4 ИМО 7911478/46056</v>
      </c>
      <c r="R78" s="45">
        <f>IF(YEAR(Таблица1[[#This Row],[Дата  составления  B\L]])=1900,"Нет Данных",YEAR(Таблица1[[#This Row],[Дата  составления  B\L]]))</f>
        <v>2026</v>
      </c>
      <c r="S78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78" s="45">
        <f>_xlfn.ISOWEEKNUM(Таблица1[[#This Row],[Дата  составления  B\L]])</f>
        <v>6</v>
      </c>
      <c r="U78" s="114">
        <f>IF(ISBLANK(Таблица1[[#This Row],[Дата  составления  B\L]]),DATE(1900,1,1),Таблица1[[#This Row],[Дата  составления  B\L]])</f>
        <v>46056</v>
      </c>
    </row>
    <row r="79" spans="2:38" x14ac:dyDescent="0.3">
      <c r="B79" s="7" t="s">
        <v>2</v>
      </c>
      <c r="C79" s="8" t="s">
        <v>59</v>
      </c>
      <c r="D79" s="8" t="s">
        <v>22</v>
      </c>
      <c r="E79" s="12" t="s">
        <v>40</v>
      </c>
      <c r="F79" s="12">
        <v>4000</v>
      </c>
      <c r="G79" s="12">
        <v>4001.7570000000001</v>
      </c>
      <c r="H79" s="18"/>
      <c r="I79" s="18"/>
      <c r="J79" s="18"/>
      <c r="K79" s="22">
        <v>46049</v>
      </c>
      <c r="L79" s="9" t="s">
        <v>48</v>
      </c>
      <c r="M79" s="12" t="s">
        <v>46</v>
      </c>
      <c r="N79" s="45"/>
      <c r="O79" s="12"/>
      <c r="P79" s="25">
        <f>Таблица1[[#This Row],[Вес по  B\L]]+Таблица1[[#This Row],[Вес  на  борту   до  начала  грузовых операций ]]</f>
        <v>4001.7570000000001</v>
      </c>
      <c r="Q79" s="12" t="str">
        <f>CONCATENATE(Таблица1[[#This Row],[ТХ ]],"/",Таблица1[[#This Row],[Дата  составления  B\L]])</f>
        <v>т/х Дон Стар 2 ИМО 7911480/46049</v>
      </c>
      <c r="R79" s="45">
        <f>IF(YEAR(Таблица1[[#This Row],[Дата  составления  B\L]])=1900,"Нет Данных",YEAR(Таблица1[[#This Row],[Дата  составления  B\L]]))</f>
        <v>2026</v>
      </c>
      <c r="S79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79" s="45">
        <f>_xlfn.ISOWEEKNUM(Таблица1[[#This Row],[Дата  составления  B\L]])</f>
        <v>5</v>
      </c>
      <c r="U79" s="114">
        <f>IF(ISBLANK(Таблица1[[#This Row],[Дата  составления  B\L]]),DATE(1900,1,1),Таблица1[[#This Row],[Дата  составления  B\L]])</f>
        <v>46049</v>
      </c>
    </row>
    <row r="80" spans="2:38" x14ac:dyDescent="0.3">
      <c r="B80" s="7" t="s">
        <v>1</v>
      </c>
      <c r="C80" s="8" t="s">
        <v>67</v>
      </c>
      <c r="D80" s="8" t="s">
        <v>22</v>
      </c>
      <c r="E80" s="12" t="s">
        <v>40</v>
      </c>
      <c r="F80" s="12">
        <v>3300</v>
      </c>
      <c r="G80" s="12">
        <v>3169.5</v>
      </c>
      <c r="H80" s="18"/>
      <c r="I80" s="18"/>
      <c r="J80" s="18"/>
      <c r="K80" s="22">
        <v>46065</v>
      </c>
      <c r="L80" s="9" t="s">
        <v>62</v>
      </c>
      <c r="M80" s="45" t="s">
        <v>47</v>
      </c>
      <c r="N80" s="45"/>
      <c r="O80" s="12"/>
      <c r="P80" s="25">
        <f>Таблица1[[#This Row],[Вес по  B\L]]+Таблица1[[#This Row],[Вес  на  борту   до  начала  грузовых операций ]]</f>
        <v>3169.5</v>
      </c>
      <c r="Q80" s="12" t="str">
        <f>CONCATENATE(Таблица1[[#This Row],[ТХ ]],"/",Таблица1[[#This Row],[Дата  составления  B\L]])</f>
        <v>т/х Дон Стар 1 ИМО 8866735/46065</v>
      </c>
      <c r="R80" s="45">
        <f>IF(YEAR(Таблица1[[#This Row],[Дата  составления  B\L]])=1900,"Нет Данных",YEAR(Таблица1[[#This Row],[Дата  составления  B\L]]))</f>
        <v>2026</v>
      </c>
      <c r="S80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0" s="45">
        <f>_xlfn.ISOWEEKNUM(Таблица1[[#This Row],[Дата  составления  B\L]])</f>
        <v>7</v>
      </c>
      <c r="U80" s="114">
        <f>IF(ISBLANK(Таблица1[[#This Row],[Дата  составления  B\L]]),DATE(1900,1,1),Таблица1[[#This Row],[Дата  составления  B\L]])</f>
        <v>46065</v>
      </c>
    </row>
    <row r="81" spans="2:21" x14ac:dyDescent="0.3">
      <c r="B81" s="7" t="s">
        <v>3</v>
      </c>
      <c r="C81" s="8" t="s">
        <v>144</v>
      </c>
      <c r="D81" s="8" t="s">
        <v>22</v>
      </c>
      <c r="E81" s="12" t="s">
        <v>96</v>
      </c>
      <c r="F81" s="12">
        <v>4000</v>
      </c>
      <c r="G81" s="12"/>
      <c r="H81" s="18"/>
      <c r="I81" s="18"/>
      <c r="J81" s="18"/>
      <c r="K81" s="22"/>
      <c r="L81" s="9" t="s">
        <v>48</v>
      </c>
      <c r="M81" s="45" t="s">
        <v>46</v>
      </c>
      <c r="N81" s="45"/>
      <c r="O81" s="12"/>
      <c r="P81" s="25">
        <f>Таблица1[[#This Row],[Вес по  B\L]]+Таблица1[[#This Row],[Вес  на  борту   до  начала  грузовых операций ]]</f>
        <v>0</v>
      </c>
      <c r="Q81" s="12" t="str">
        <f>CONCATENATE(Таблица1[[#This Row],[ТХ ]],"/",Таблица1[[#This Row],[Дата  составления  B\L]])</f>
        <v>т/х Дон Стар 3 ИМО 7911507/</v>
      </c>
      <c r="R81" s="45" t="str">
        <f>IF(YEAR(Таблица1[[#This Row],[Дата  составления  B\L]])=1900,"Нет Данных",YEAR(Таблица1[[#This Row],[Дата  составления  B\L]]))</f>
        <v>Нет Данных</v>
      </c>
      <c r="S81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81" s="45">
        <f>_xlfn.ISOWEEKNUM(Таблица1[[#This Row],[Дата  составления  B\L]])</f>
        <v>52</v>
      </c>
      <c r="U81" s="114">
        <f>IF(ISBLANK(Таблица1[[#This Row],[Дата  составления  B\L]]),DATE(1900,1,1),Таблица1[[#This Row],[Дата  составления  B\L]])</f>
        <v>1</v>
      </c>
    </row>
    <row r="82" spans="2:21" x14ac:dyDescent="0.3">
      <c r="B82" s="49" t="s">
        <v>5</v>
      </c>
      <c r="C82" s="8" t="s">
        <v>59</v>
      </c>
      <c r="D82" s="8" t="s">
        <v>22</v>
      </c>
      <c r="E82" s="12" t="s">
        <v>40</v>
      </c>
      <c r="F82" s="12">
        <v>3300</v>
      </c>
      <c r="G82" s="12">
        <v>3299.5250000000001</v>
      </c>
      <c r="H82" s="18"/>
      <c r="I82" s="18"/>
      <c r="J82" s="18"/>
      <c r="K82" s="22">
        <v>46067</v>
      </c>
      <c r="L82" s="9" t="s">
        <v>48</v>
      </c>
      <c r="M82" s="45" t="s">
        <v>46</v>
      </c>
      <c r="N82" s="45"/>
      <c r="O82" s="12"/>
      <c r="P82" s="25">
        <f>Таблица1[[#This Row],[Вес по  B\L]]+Таблица1[[#This Row],[Вес  на  борту   до  начала  грузовых операций ]]</f>
        <v>3299.5250000000001</v>
      </c>
      <c r="Q82" s="12" t="str">
        <f>CONCATENATE(Таблица1[[#This Row],[ТХ ]],"/",Таблица1[[#This Row],[Дата  составления  B\L]])</f>
        <v>т/х Дон Стар 5 ИМО 8955469/46067</v>
      </c>
      <c r="R82" s="45">
        <f>IF(YEAR(Таблица1[[#This Row],[Дата  составления  B\L]])=1900,"Нет Данных",YEAR(Таблица1[[#This Row],[Дата  составления  B\L]]))</f>
        <v>2026</v>
      </c>
      <c r="S82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2" s="45">
        <f>_xlfn.ISOWEEKNUM(Таблица1[[#This Row],[Дата  составления  B\L]])</f>
        <v>7</v>
      </c>
      <c r="U82" s="114">
        <f>IF(ISBLANK(Таблица1[[#This Row],[Дата  составления  B\L]]),DATE(1900,1,1),Таблица1[[#This Row],[Дата  составления  B\L]])</f>
        <v>46067</v>
      </c>
    </row>
    <row r="83" spans="2:21" x14ac:dyDescent="0.3">
      <c r="B83" s="49" t="s">
        <v>6</v>
      </c>
      <c r="C83" s="8" t="s">
        <v>49</v>
      </c>
      <c r="D83" s="8" t="s">
        <v>22</v>
      </c>
      <c r="E83" s="12" t="s">
        <v>40</v>
      </c>
      <c r="F83" s="12">
        <v>3300</v>
      </c>
      <c r="G83" s="12">
        <v>2982.1010000000001</v>
      </c>
      <c r="H83" s="18"/>
      <c r="I83" s="18"/>
      <c r="J83" s="18"/>
      <c r="K83" s="22">
        <v>46068</v>
      </c>
      <c r="L83" s="9" t="s">
        <v>62</v>
      </c>
      <c r="M83" s="45" t="s">
        <v>46</v>
      </c>
      <c r="N83" s="45"/>
      <c r="O83" s="12"/>
      <c r="P83" s="25">
        <f>Таблица1[[#This Row],[Вес по  B\L]]+Таблица1[[#This Row],[Вес  на  борту   до  начала  грузовых операций ]]</f>
        <v>2982.1010000000001</v>
      </c>
      <c r="Q83" s="12" t="str">
        <f>CONCATENATE(Таблица1[[#This Row],[ТХ ]],"/",Таблица1[[#This Row],[Дата  составления  B\L]])</f>
        <v>т/х Дон Стар 6 ИМО 8951396/46068</v>
      </c>
      <c r="R83" s="45">
        <f>IF(YEAR(Таблица1[[#This Row],[Дата  составления  B\L]])=1900,"Нет Данных",YEAR(Таблица1[[#This Row],[Дата  составления  B\L]]))</f>
        <v>2026</v>
      </c>
      <c r="S83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3" s="45">
        <f>_xlfn.ISOWEEKNUM(Таблица1[[#This Row],[Дата  составления  B\L]])</f>
        <v>7</v>
      </c>
      <c r="U83" s="114">
        <f>IF(ISBLANK(Таблица1[[#This Row],[Дата  составления  B\L]]),DATE(1900,1,1),Таблица1[[#This Row],[Дата  составления  B\L]])</f>
        <v>46068</v>
      </c>
    </row>
    <row r="84" spans="2:21" ht="15.75" customHeight="1" x14ac:dyDescent="0.3">
      <c r="B84" s="49" t="s">
        <v>2</v>
      </c>
      <c r="C84" s="8" t="s">
        <v>59</v>
      </c>
      <c r="D84" s="8" t="s">
        <v>22</v>
      </c>
      <c r="E84" s="12" t="s">
        <v>40</v>
      </c>
      <c r="F84" s="12">
        <v>4000</v>
      </c>
      <c r="G84" s="12">
        <v>4034.2849999999999</v>
      </c>
      <c r="H84" s="18"/>
      <c r="I84" s="18"/>
      <c r="J84" s="18"/>
      <c r="K84" s="22">
        <v>46069</v>
      </c>
      <c r="L84" s="9" t="s">
        <v>48</v>
      </c>
      <c r="M84" s="45" t="s">
        <v>46</v>
      </c>
      <c r="N84" s="45"/>
      <c r="O84" s="12"/>
      <c r="P84" s="25">
        <f>Таблица1[[#This Row],[Вес по  B\L]]+Таблица1[[#This Row],[Вес  на  борту   до  начала  грузовых операций ]]</f>
        <v>4034.2849999999999</v>
      </c>
      <c r="Q84" s="12" t="str">
        <f>CONCATENATE(Таблица1[[#This Row],[ТХ ]],"/",Таблица1[[#This Row],[Дата  составления  B\L]])</f>
        <v>т/х Дон Стар 2 ИМО 7911480/46069</v>
      </c>
      <c r="R84" s="45">
        <f>IF(YEAR(Таблица1[[#This Row],[Дата  составления  B\L]])=1900,"Нет Данных",YEAR(Таблица1[[#This Row],[Дата  составления  B\L]]))</f>
        <v>2026</v>
      </c>
      <c r="S84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4" s="45">
        <f>_xlfn.ISOWEEKNUM(Таблица1[[#This Row],[Дата  составления  B\L]])</f>
        <v>8</v>
      </c>
      <c r="U84" s="114">
        <f>IF(ISBLANK(Таблица1[[#This Row],[Дата  составления  B\L]]),DATE(1900,1,1),Таблица1[[#This Row],[Дата  составления  B\L]])</f>
        <v>46069</v>
      </c>
    </row>
    <row r="85" spans="2:21" x14ac:dyDescent="0.3">
      <c r="B85" s="76" t="s">
        <v>7</v>
      </c>
      <c r="C85" s="8" t="s">
        <v>59</v>
      </c>
      <c r="D85" s="8" t="s">
        <v>22</v>
      </c>
      <c r="E85" s="12" t="s">
        <v>40</v>
      </c>
      <c r="F85" s="12">
        <v>3300</v>
      </c>
      <c r="G85" s="12">
        <v>3235.8980000000001</v>
      </c>
      <c r="H85" s="18"/>
      <c r="I85" s="18"/>
      <c r="J85" s="18"/>
      <c r="K85" s="22">
        <v>46077</v>
      </c>
      <c r="L85" s="9" t="s">
        <v>48</v>
      </c>
      <c r="M85" s="45" t="s">
        <v>46</v>
      </c>
      <c r="N85" s="44"/>
      <c r="O85" s="11"/>
      <c r="P85" s="25">
        <f>Таблица1[[#This Row],[Вес по  B\L]]+Таблица1[[#This Row],[Вес  на  борту   до  начала  грузовых операций ]]</f>
        <v>3235.8980000000001</v>
      </c>
      <c r="Q85" s="11" t="str">
        <f>CONCATENATE(Таблица1[[#This Row],[ТХ ]],"/",Таблица1[[#This Row],[Дата  составления  B\L]])</f>
        <v>т/х Дон Стар 7 ИМО 8844153/46077</v>
      </c>
      <c r="R85" s="45">
        <f>IF(YEAR(Таблица1[[#This Row],[Дата  составления  B\L]])=1900,"Нет Данных",YEAR(Таблица1[[#This Row],[Дата  составления  B\L]]))</f>
        <v>2026</v>
      </c>
      <c r="S85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5" s="45">
        <f>_xlfn.ISOWEEKNUM(Таблица1[[#This Row],[Дата  составления  B\L]])</f>
        <v>9</v>
      </c>
      <c r="U85" s="114">
        <f>IF(ISBLANK(Таблица1[[#This Row],[Дата  составления  B\L]]),DATE(1900,1,1),Таблица1[[#This Row],[Дата  составления  B\L]])</f>
        <v>46077</v>
      </c>
    </row>
    <row r="86" spans="2:21" x14ac:dyDescent="0.3">
      <c r="B86" s="4" t="s">
        <v>64</v>
      </c>
      <c r="C86" s="8" t="s">
        <v>59</v>
      </c>
      <c r="D86" s="8" t="s">
        <v>22</v>
      </c>
      <c r="E86" s="12" t="s">
        <v>40</v>
      </c>
      <c r="F86" s="12">
        <v>4200</v>
      </c>
      <c r="G86" s="12">
        <v>4268.1030000000001</v>
      </c>
      <c r="H86" s="18"/>
      <c r="I86" s="18"/>
      <c r="J86" s="18"/>
      <c r="K86" s="22">
        <v>46080</v>
      </c>
      <c r="L86" s="9" t="s">
        <v>48</v>
      </c>
      <c r="M86" s="45" t="s">
        <v>46</v>
      </c>
      <c r="N86" s="44"/>
      <c r="O86" s="11"/>
      <c r="P86" s="25">
        <f>Таблица1[[#This Row],[Вес по  B\L]]+Таблица1[[#This Row],[Вес  на  борту   до  начала  грузовых операций ]]</f>
        <v>4268.1030000000001</v>
      </c>
      <c r="Q86" s="11" t="str">
        <f>CONCATENATE(Таблица1[[#This Row],[ТХ ]],"/",Таблица1[[#This Row],[Дата  составления  B\L]])</f>
        <v>т/х Волго-Дон 217 ИМО 8946377/46080</v>
      </c>
      <c r="R86" s="45">
        <f>IF(YEAR(Таблица1[[#This Row],[Дата  составления  B\L]])=1900,"Нет Данных",YEAR(Таблица1[[#This Row],[Дата  составления  B\L]]))</f>
        <v>2026</v>
      </c>
      <c r="S86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6" s="45">
        <f>_xlfn.ISOWEEKNUM(Таблица1[[#This Row],[Дата  составления  B\L]])</f>
        <v>9</v>
      </c>
      <c r="U86" s="114">
        <f>IF(ISBLANK(Таблица1[[#This Row],[Дата  составления  B\L]]),DATE(1900,1,1),Таблица1[[#This Row],[Дата  составления  B\L]])</f>
        <v>46080</v>
      </c>
    </row>
    <row r="87" spans="2:21" x14ac:dyDescent="0.3">
      <c r="B87" s="49" t="s">
        <v>5</v>
      </c>
      <c r="C87" s="8" t="s">
        <v>49</v>
      </c>
      <c r="D87" s="8" t="s">
        <v>22</v>
      </c>
      <c r="E87" s="12" t="s">
        <v>40</v>
      </c>
      <c r="F87" s="12">
        <v>3300</v>
      </c>
      <c r="G87" s="12">
        <v>3300.1390000000001</v>
      </c>
      <c r="H87" s="18"/>
      <c r="I87" s="18"/>
      <c r="J87" s="18"/>
      <c r="K87" s="22">
        <v>46082</v>
      </c>
      <c r="L87" s="9" t="s">
        <v>48</v>
      </c>
      <c r="M87" s="45" t="s">
        <v>46</v>
      </c>
      <c r="N87" s="45"/>
      <c r="O87" s="12"/>
      <c r="P87" s="25">
        <f>Таблица1[[#This Row],[Вес по  B\L]]+Таблица1[[#This Row],[Вес  на  борту   до  начала  грузовых операций ]]</f>
        <v>3300.1390000000001</v>
      </c>
      <c r="Q87" s="12" t="str">
        <f>CONCATENATE(Таблица1[[#This Row],[ТХ ]],"/",Таблица1[[#This Row],[Дата  составления  B\L]])</f>
        <v>т/х Дон Стар 5 ИМО 8955469/46082</v>
      </c>
      <c r="R87" s="45">
        <f>IF(YEAR(Таблица1[[#This Row],[Дата  составления  B\L]])=1900,"Нет Данных",YEAR(Таблица1[[#This Row],[Дата  составления  B\L]]))</f>
        <v>2026</v>
      </c>
      <c r="S87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87" s="45">
        <f>_xlfn.ISOWEEKNUM(Таблица1[[#This Row],[Дата  составления  B\L]])</f>
        <v>9</v>
      </c>
      <c r="U87" s="114">
        <f>IF(ISBLANK(Таблица1[[#This Row],[Дата  составления  B\L]]),DATE(1900,1,1),Таблица1[[#This Row],[Дата  составления  B\L]])</f>
        <v>46082</v>
      </c>
    </row>
    <row r="88" spans="2:21" x14ac:dyDescent="0.3">
      <c r="B88" s="49" t="s">
        <v>176</v>
      </c>
      <c r="C88" s="8" t="s">
        <v>59</v>
      </c>
      <c r="D88" s="8" t="s">
        <v>22</v>
      </c>
      <c r="E88" s="12" t="s">
        <v>40</v>
      </c>
      <c r="F88" s="12">
        <v>3000</v>
      </c>
      <c r="G88" s="12">
        <v>2800.0630000000001</v>
      </c>
      <c r="H88" s="18"/>
      <c r="I88" s="18"/>
      <c r="J88" s="18"/>
      <c r="K88" s="22">
        <v>46082</v>
      </c>
      <c r="L88" s="9" t="s">
        <v>48</v>
      </c>
      <c r="M88" s="45" t="s">
        <v>46</v>
      </c>
      <c r="N88" s="45"/>
      <c r="O88" s="12"/>
      <c r="P88" s="25">
        <f>Таблица1[[#This Row],[Вес по  B\L]]+Таблица1[[#This Row],[Вес  на  борту   до  начала  грузовых операций ]]</f>
        <v>2800.0630000000001</v>
      </c>
      <c r="Q88" s="12" t="str">
        <f>CONCATENATE(Таблица1[[#This Row],[ТХ ]],"/",Таблица1[[#This Row],[Дата  составления  B\L]])</f>
        <v>т/х Дон 7111420/46082</v>
      </c>
      <c r="R88" s="45">
        <f>IF(YEAR(Таблица1[[#This Row],[Дата  составления  B\L]])=1900,"Нет Данных",YEAR(Таблица1[[#This Row],[Дата  составления  B\L]]))</f>
        <v>2026</v>
      </c>
      <c r="S88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88" s="45">
        <f>_xlfn.ISOWEEKNUM(Таблица1[[#This Row],[Дата  составления  B\L]])</f>
        <v>9</v>
      </c>
      <c r="U88" s="114">
        <f>IF(ISBLANK(Таблица1[[#This Row],[Дата  составления  B\L]]),DATE(1900,1,1),Таблица1[[#This Row],[Дата  составления  B\L]])</f>
        <v>46082</v>
      </c>
    </row>
    <row r="89" spans="2:21" x14ac:dyDescent="0.3">
      <c r="B89" s="49" t="s">
        <v>2</v>
      </c>
      <c r="C89" s="8" t="s">
        <v>59</v>
      </c>
      <c r="D89" s="8" t="s">
        <v>22</v>
      </c>
      <c r="E89" s="12" t="s">
        <v>40</v>
      </c>
      <c r="F89" s="12">
        <v>4000</v>
      </c>
      <c r="G89" s="12">
        <v>4001.598</v>
      </c>
      <c r="H89" s="18"/>
      <c r="I89" s="18"/>
      <c r="J89" s="18"/>
      <c r="K89" s="22">
        <v>46081</v>
      </c>
      <c r="L89" s="9" t="s">
        <v>48</v>
      </c>
      <c r="M89" s="45" t="s">
        <v>46</v>
      </c>
      <c r="N89" s="45"/>
      <c r="O89" s="12"/>
      <c r="P89" s="25">
        <f>Таблица1[[#This Row],[Вес по  B\L]]+Таблица1[[#This Row],[Вес  на  борту   до  начала  грузовых операций ]]</f>
        <v>4001.598</v>
      </c>
      <c r="Q89" s="12" t="str">
        <f>CONCATENATE(Таблица1[[#This Row],[ТХ ]],"/",Таблица1[[#This Row],[Дата  составления  B\L]])</f>
        <v>т/х Дон Стар 2 ИМО 7911480/46081</v>
      </c>
      <c r="R89" s="45">
        <f>IF(YEAR(Таблица1[[#This Row],[Дата  составления  B\L]])=1900,"Нет Данных",YEAR(Таблица1[[#This Row],[Дата  составления  B\L]]))</f>
        <v>2026</v>
      </c>
      <c r="S89" s="45" t="str">
        <f>IF(TEXT(Таблица1[[#This Row],[Дата  составления  B\L]],"ММММ")=1900,"Нет Данных",TEXT(Таблица1[[#This Row],[Дата  составления  B\L]],"ММММ"))</f>
        <v>Февраль</v>
      </c>
      <c r="T89" s="45">
        <f>_xlfn.ISOWEEKNUM(Таблица1[[#This Row],[Дата  составления  B\L]])</f>
        <v>9</v>
      </c>
      <c r="U89" s="114">
        <f>IF(ISBLANK(Таблица1[[#This Row],[Дата  составления  B\L]]),DATE(1900,1,1),Таблица1[[#This Row],[Дата  составления  B\L]])</f>
        <v>46081</v>
      </c>
    </row>
    <row r="90" spans="2:21" x14ac:dyDescent="0.3">
      <c r="B90" s="49" t="s">
        <v>4</v>
      </c>
      <c r="C90" s="8" t="s">
        <v>59</v>
      </c>
      <c r="D90" s="8" t="s">
        <v>22</v>
      </c>
      <c r="E90" s="12" t="s">
        <v>40</v>
      </c>
      <c r="F90" s="12">
        <v>4000</v>
      </c>
      <c r="G90" s="12">
        <v>4009.127</v>
      </c>
      <c r="H90" s="18"/>
      <c r="I90" s="18"/>
      <c r="J90" s="18"/>
      <c r="K90" s="22">
        <v>46083</v>
      </c>
      <c r="L90" s="9" t="s">
        <v>48</v>
      </c>
      <c r="M90" s="45" t="s">
        <v>46</v>
      </c>
      <c r="N90" s="45"/>
      <c r="O90" s="12"/>
      <c r="P90" s="25">
        <f>Таблица1[[#This Row],[Вес по  B\L]]+Таблица1[[#This Row],[Вес  на  борту   до  начала  грузовых операций ]]</f>
        <v>4009.127</v>
      </c>
      <c r="Q90" s="12" t="str">
        <f>CONCATENATE(Таблица1[[#This Row],[ТХ ]],"/",Таблица1[[#This Row],[Дата  составления  B\L]])</f>
        <v>т/х Дон Стар 4 ИМО 7911478/46083</v>
      </c>
      <c r="R90" s="45">
        <f>IF(YEAR(Таблица1[[#This Row],[Дата  составления  B\L]])=1900,"Нет Данных",YEAR(Таблица1[[#This Row],[Дата  составления  B\L]]))</f>
        <v>2026</v>
      </c>
      <c r="S90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0" s="45">
        <f>_xlfn.ISOWEEKNUM(Таблица1[[#This Row],[Дата  составления  B\L]])</f>
        <v>10</v>
      </c>
      <c r="U90" s="114">
        <f>IF(ISBLANK(Таблица1[[#This Row],[Дата  составления  B\L]]),DATE(1900,1,1),Таблица1[[#This Row],[Дата  составления  B\L]])</f>
        <v>46083</v>
      </c>
    </row>
    <row r="91" spans="2:21" x14ac:dyDescent="0.3">
      <c r="B91" s="49" t="s">
        <v>173</v>
      </c>
      <c r="C91" s="8" t="s">
        <v>59</v>
      </c>
      <c r="D91" s="8" t="s">
        <v>22</v>
      </c>
      <c r="E91" s="12" t="s">
        <v>40</v>
      </c>
      <c r="F91" s="12">
        <v>3000</v>
      </c>
      <c r="G91" s="12">
        <v>2879.7809999999999</v>
      </c>
      <c r="H91" s="18"/>
      <c r="I91" s="18"/>
      <c r="J91" s="18"/>
      <c r="K91" s="22">
        <v>46086</v>
      </c>
      <c r="L91" s="9" t="s">
        <v>48</v>
      </c>
      <c r="M91" s="45" t="s">
        <v>46</v>
      </c>
      <c r="N91" s="45"/>
      <c r="O91" s="12"/>
      <c r="P91" s="25">
        <f>Таблица1[[#This Row],[Вес по  B\L]]+Таблица1[[#This Row],[Вес  на  борту   до  начала  грузовых операций ]]</f>
        <v>2879.7809999999999</v>
      </c>
      <c r="Q91" s="12" t="str">
        <f>CONCATENATE(Таблица1[[#This Row],[ТХ ]],"/",Таблица1[[#This Row],[Дата  составления  B\L]])</f>
        <v>т/х Астра Меридиан ИМО8721399/46086</v>
      </c>
      <c r="R91" s="45">
        <f>IF(YEAR(Таблица1[[#This Row],[Дата  составления  B\L]])=1900,"Нет Данных",YEAR(Таблица1[[#This Row],[Дата  составления  B\L]]))</f>
        <v>2026</v>
      </c>
      <c r="S91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1" s="45">
        <f>_xlfn.ISOWEEKNUM(Таблица1[[#This Row],[Дата  составления  B\L]])</f>
        <v>10</v>
      </c>
      <c r="U91" s="114">
        <f>IF(ISBLANK(Таблица1[[#This Row],[Дата  составления  B\L]]),DATE(1900,1,1),Таблица1[[#This Row],[Дата  составления  B\L]])</f>
        <v>46086</v>
      </c>
    </row>
    <row r="92" spans="2:21" x14ac:dyDescent="0.3">
      <c r="B92" s="49" t="s">
        <v>175</v>
      </c>
      <c r="C92" s="8" t="s">
        <v>59</v>
      </c>
      <c r="D92" s="8" t="s">
        <v>22</v>
      </c>
      <c r="E92" s="12" t="s">
        <v>40</v>
      </c>
      <c r="F92" s="12">
        <v>3500</v>
      </c>
      <c r="G92" s="12">
        <v>3725.46</v>
      </c>
      <c r="H92" s="18"/>
      <c r="I92" s="18"/>
      <c r="J92" s="18"/>
      <c r="K92" s="22">
        <v>46089</v>
      </c>
      <c r="L92" s="9" t="s">
        <v>48</v>
      </c>
      <c r="M92" s="45" t="s">
        <v>46</v>
      </c>
      <c r="N92" s="45"/>
      <c r="O92" s="12"/>
      <c r="P92" s="25">
        <f>Таблица1[[#This Row],[Вес по  B\L]]+Таблица1[[#This Row],[Вес  на  борту   до  начала  грузовых операций ]]</f>
        <v>3725.46</v>
      </c>
      <c r="Q92" s="12" t="str">
        <f>CONCATENATE(Таблица1[[#This Row],[ТХ ]],"/",Таблица1[[#This Row],[Дата  составления  B\L]])</f>
        <v>т/х Святой Спиридон ИМО9087104/46089</v>
      </c>
      <c r="R92" s="45">
        <f>IF(YEAR(Таблица1[[#This Row],[Дата  составления  B\L]])=1900,"Нет Данных",YEAR(Таблица1[[#This Row],[Дата  составления  B\L]]))</f>
        <v>2026</v>
      </c>
      <c r="S92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2" s="45">
        <f>_xlfn.ISOWEEKNUM(Таблица1[[#This Row],[Дата  составления  B\L]])</f>
        <v>10</v>
      </c>
      <c r="U92" s="114">
        <f>IF(ISBLANK(Таблица1[[#This Row],[Дата  составления  B\L]]),DATE(1900,1,1),Таблица1[[#This Row],[Дата  составления  B\L]])</f>
        <v>46089</v>
      </c>
    </row>
    <row r="93" spans="2:21" x14ac:dyDescent="0.3">
      <c r="B93" s="49" t="s">
        <v>63</v>
      </c>
      <c r="C93" s="8" t="s">
        <v>59</v>
      </c>
      <c r="D93" s="8" t="s">
        <v>22</v>
      </c>
      <c r="E93" s="12" t="s">
        <v>40</v>
      </c>
      <c r="F93" s="12">
        <v>4200</v>
      </c>
      <c r="G93" s="12">
        <v>4600.24</v>
      </c>
      <c r="H93" s="18"/>
      <c r="I93" s="18"/>
      <c r="J93" s="18"/>
      <c r="K93" s="22">
        <v>46088</v>
      </c>
      <c r="L93" s="9" t="s">
        <v>48</v>
      </c>
      <c r="M93" s="45" t="s">
        <v>46</v>
      </c>
      <c r="N93" s="45"/>
      <c r="O93" s="12"/>
      <c r="P93" s="25">
        <f>Таблица1[[#This Row],[Вес по  B\L]]+Таблица1[[#This Row],[Вес  на  борту   до  начала  грузовых операций ]]</f>
        <v>4600.24</v>
      </c>
      <c r="Q93" s="12" t="str">
        <f>CONCATENATE(Таблица1[[#This Row],[ТХ ]],"/",Таблица1[[#This Row],[Дата  составления  B\L]])</f>
        <v>т/х В.Успенский   ИМО 8946389/46088</v>
      </c>
      <c r="R93" s="45">
        <f>IF(YEAR(Таблица1[[#This Row],[Дата  составления  B\L]])=1900,"Нет Данных",YEAR(Таблица1[[#This Row],[Дата  составления  B\L]]))</f>
        <v>2026</v>
      </c>
      <c r="S93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3" s="45">
        <f>_xlfn.ISOWEEKNUM(Таблица1[[#This Row],[Дата  составления  B\L]])</f>
        <v>10</v>
      </c>
      <c r="U93" s="114">
        <f>IF(ISBLANK(Таблица1[[#This Row],[Дата  составления  B\L]]),DATE(1900,1,1),Таблица1[[#This Row],[Дата  составления  B\L]])</f>
        <v>46088</v>
      </c>
    </row>
    <row r="94" spans="2:21" x14ac:dyDescent="0.3">
      <c r="B94" s="49" t="s">
        <v>177</v>
      </c>
      <c r="C94" s="8" t="s">
        <v>59</v>
      </c>
      <c r="D94" s="8" t="s">
        <v>22</v>
      </c>
      <c r="E94" s="12" t="s">
        <v>40</v>
      </c>
      <c r="F94" s="12">
        <v>4800</v>
      </c>
      <c r="G94" s="12">
        <v>4350.0519999999997</v>
      </c>
      <c r="H94" s="18"/>
      <c r="I94" s="18"/>
      <c r="J94" s="18"/>
      <c r="K94" s="22">
        <v>46088</v>
      </c>
      <c r="L94" s="9" t="s">
        <v>48</v>
      </c>
      <c r="M94" s="45" t="s">
        <v>46</v>
      </c>
      <c r="N94" s="45"/>
      <c r="O94" s="12"/>
      <c r="P94" s="25">
        <f>Таблица1[[#This Row],[Вес по  B\L]]+Таблица1[[#This Row],[Вес  на  борту   до  начала  грузовых операций ]]</f>
        <v>4350.0519999999997</v>
      </c>
      <c r="Q94" s="12" t="str">
        <f>CONCATENATE(Таблица1[[#This Row],[ТХ ]],"/",Таблица1[[#This Row],[Дата  составления  B\L]])</f>
        <v>т/х Волго-Дон 5011 ИМО8951310/46088</v>
      </c>
      <c r="R94" s="45">
        <f>IF(YEAR(Таблица1[[#This Row],[Дата  составления  B\L]])=1900,"Нет Данных",YEAR(Таблица1[[#This Row],[Дата  составления  B\L]]))</f>
        <v>2026</v>
      </c>
      <c r="S94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4" s="45">
        <f>_xlfn.ISOWEEKNUM(Таблица1[[#This Row],[Дата  составления  B\L]])</f>
        <v>10</v>
      </c>
      <c r="U94" s="114">
        <f>IF(ISBLANK(Таблица1[[#This Row],[Дата  составления  B\L]]),DATE(1900,1,1),Таблица1[[#This Row],[Дата  составления  B\L]])</f>
        <v>46088</v>
      </c>
    </row>
    <row r="95" spans="2:21" x14ac:dyDescent="0.3">
      <c r="B95" s="76" t="s">
        <v>7</v>
      </c>
      <c r="C95" s="8" t="s">
        <v>59</v>
      </c>
      <c r="D95" s="8" t="s">
        <v>22</v>
      </c>
      <c r="E95" s="12" t="s">
        <v>40</v>
      </c>
      <c r="F95" s="12">
        <v>3300</v>
      </c>
      <c r="G95" s="12">
        <v>3235.3490000000002</v>
      </c>
      <c r="H95" s="18"/>
      <c r="I95" s="18"/>
      <c r="J95" s="18"/>
      <c r="K95" s="22">
        <v>46090</v>
      </c>
      <c r="L95" s="9" t="s">
        <v>48</v>
      </c>
      <c r="M95" s="45" t="s">
        <v>46</v>
      </c>
      <c r="N95" s="44"/>
      <c r="O95" s="11"/>
      <c r="P95" s="25">
        <f>Таблица1[[#This Row],[Вес по  B\L]]+Таблица1[[#This Row],[Вес  на  борту   до  начала  грузовых операций ]]</f>
        <v>3235.3490000000002</v>
      </c>
      <c r="Q95" s="11" t="str">
        <f>CONCATENATE(Таблица1[[#This Row],[ТХ ]],"/",Таблица1[[#This Row],[Дата  составления  B\L]])</f>
        <v>т/х Дон Стар 7 ИМО 8844153/46090</v>
      </c>
      <c r="R95" s="45">
        <f>IF(YEAR(Таблица1[[#This Row],[Дата  составления  B\L]])=1900,"Нет Данных",YEAR(Таблица1[[#This Row],[Дата  составления  B\L]]))</f>
        <v>2026</v>
      </c>
      <c r="S95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5" s="45">
        <f>_xlfn.ISOWEEKNUM(Таблица1[[#This Row],[Дата  составления  B\L]])</f>
        <v>11</v>
      </c>
      <c r="U95" s="114">
        <f>IF(ISBLANK(Таблица1[[#This Row],[Дата  составления  B\L]]),DATE(1900,1,1),Таблица1[[#This Row],[Дата  составления  B\L]])</f>
        <v>46090</v>
      </c>
    </row>
    <row r="96" spans="2:21" x14ac:dyDescent="0.3">
      <c r="B96" s="76" t="s">
        <v>23</v>
      </c>
      <c r="C96" s="8" t="s">
        <v>59</v>
      </c>
      <c r="D96" s="8" t="s">
        <v>22</v>
      </c>
      <c r="E96" s="12" t="s">
        <v>40</v>
      </c>
      <c r="F96" s="12">
        <v>4800</v>
      </c>
      <c r="G96" s="12">
        <v>4751.2169999999996</v>
      </c>
      <c r="H96" s="18"/>
      <c r="I96" s="18"/>
      <c r="J96" s="18"/>
      <c r="K96" s="22">
        <v>46091</v>
      </c>
      <c r="L96" s="9" t="s">
        <v>48</v>
      </c>
      <c r="M96" s="45" t="s">
        <v>46</v>
      </c>
      <c r="N96" s="44"/>
      <c r="O96" s="11"/>
      <c r="P96" s="25">
        <f>Таблица1[[#This Row],[Вес по  B\L]]+Таблица1[[#This Row],[Вес  на  борту   до  начала  грузовых операций ]]</f>
        <v>4751.2169999999996</v>
      </c>
      <c r="Q96" s="11" t="str">
        <f>CONCATENATE(Таблица1[[#This Row],[ТХ ]],"/",Таблица1[[#This Row],[Дата  составления  B\L]])</f>
        <v>Волго-Дон 5079 ИМО 8852784/46091</v>
      </c>
      <c r="R96" s="45">
        <f>IF(YEAR(Таблица1[[#This Row],[Дата  составления  B\L]])=1900,"Нет Данных",YEAR(Таблица1[[#This Row],[Дата  составления  B\L]]))</f>
        <v>2026</v>
      </c>
      <c r="S96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6" s="45">
        <f>_xlfn.ISOWEEKNUM(Таблица1[[#This Row],[Дата  составления  B\L]])</f>
        <v>11</v>
      </c>
      <c r="U96" s="114">
        <f>IF(ISBLANK(Таблица1[[#This Row],[Дата  составления  B\L]]),DATE(1900,1,1),Таблица1[[#This Row],[Дата  составления  B\L]])</f>
        <v>46091</v>
      </c>
    </row>
    <row r="97" spans="2:21" x14ac:dyDescent="0.3">
      <c r="B97" s="49" t="s">
        <v>5</v>
      </c>
      <c r="C97" s="8" t="s">
        <v>59</v>
      </c>
      <c r="D97" s="8" t="s">
        <v>22</v>
      </c>
      <c r="E97" s="12" t="s">
        <v>40</v>
      </c>
      <c r="F97" s="12">
        <v>3300</v>
      </c>
      <c r="G97" s="12">
        <v>3301.9459999999999</v>
      </c>
      <c r="H97" s="18"/>
      <c r="I97" s="18"/>
      <c r="J97" s="18"/>
      <c r="K97" s="22">
        <v>46091</v>
      </c>
      <c r="L97" s="9" t="s">
        <v>48</v>
      </c>
      <c r="M97" s="45" t="s">
        <v>46</v>
      </c>
      <c r="N97" s="45"/>
      <c r="O97" s="12"/>
      <c r="P97" s="25">
        <f>Таблица1[[#This Row],[Вес по  B\L]]+Таблица1[[#This Row],[Вес  на  борту   до  начала  грузовых операций ]]</f>
        <v>3301.9459999999999</v>
      </c>
      <c r="Q97" s="12" t="str">
        <f>CONCATENATE(Таблица1[[#This Row],[ТХ ]],"/",Таблица1[[#This Row],[Дата  составления  B\L]])</f>
        <v>т/х Дон Стар 5 ИМО 8955469/46091</v>
      </c>
      <c r="R97" s="45">
        <f>IF(YEAR(Таблица1[[#This Row],[Дата  составления  B\L]])=1900,"Нет Данных",YEAR(Таблица1[[#This Row],[Дата  составления  B\L]]))</f>
        <v>2026</v>
      </c>
      <c r="S97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7" s="45">
        <f>_xlfn.ISOWEEKNUM(Таблица1[[#This Row],[Дата  составления  B\L]])</f>
        <v>11</v>
      </c>
      <c r="U97" s="114">
        <f>IF(ISBLANK(Таблица1[[#This Row],[Дата  составления  B\L]]),DATE(1900,1,1),Таблица1[[#This Row],[Дата  составления  B\L]])</f>
        <v>46091</v>
      </c>
    </row>
    <row r="98" spans="2:21" x14ac:dyDescent="0.3">
      <c r="B98" s="49" t="s">
        <v>176</v>
      </c>
      <c r="C98" s="8" t="s">
        <v>49</v>
      </c>
      <c r="D98" s="8" t="s">
        <v>22</v>
      </c>
      <c r="E98" s="12" t="s">
        <v>40</v>
      </c>
      <c r="F98" s="12">
        <v>2800</v>
      </c>
      <c r="G98" s="12">
        <v>2802.13</v>
      </c>
      <c r="H98" s="18"/>
      <c r="I98" s="18"/>
      <c r="J98" s="18"/>
      <c r="K98" s="22">
        <v>46090</v>
      </c>
      <c r="L98" s="9" t="s">
        <v>48</v>
      </c>
      <c r="M98" s="45" t="s">
        <v>46</v>
      </c>
      <c r="N98" s="45"/>
      <c r="O98" s="12"/>
      <c r="P98" s="25">
        <f>Таблица1[[#This Row],[Вес по  B\L]]+Таблица1[[#This Row],[Вес  на  борту   до  начала  грузовых операций ]]</f>
        <v>2802.13</v>
      </c>
      <c r="Q98" s="12" t="str">
        <f>CONCATENATE(Таблица1[[#This Row],[ТХ ]],"/",Таблица1[[#This Row],[Дата  составления  B\L]])</f>
        <v>т/х Дон 7111420/46090</v>
      </c>
      <c r="R98" s="45">
        <f>IF(YEAR(Таблица1[[#This Row],[Дата  составления  B\L]])=1900,"Нет Данных",YEAR(Таблица1[[#This Row],[Дата  составления  B\L]]))</f>
        <v>2026</v>
      </c>
      <c r="S98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8" s="45">
        <f>_xlfn.ISOWEEKNUM(Таблица1[[#This Row],[Дата  составления  B\L]])</f>
        <v>11</v>
      </c>
      <c r="U98" s="114">
        <f>IF(ISBLANK(Таблица1[[#This Row],[Дата  составления  B\L]]),DATE(1900,1,1),Таблица1[[#This Row],[Дата  составления  B\L]])</f>
        <v>46090</v>
      </c>
    </row>
    <row r="99" spans="2:21" x14ac:dyDescent="0.3">
      <c r="B99" s="49" t="s">
        <v>2</v>
      </c>
      <c r="C99" s="8" t="s">
        <v>59</v>
      </c>
      <c r="D99" s="8" t="s">
        <v>22</v>
      </c>
      <c r="E99" s="12" t="s">
        <v>40</v>
      </c>
      <c r="F99" s="12">
        <v>4000</v>
      </c>
      <c r="G99" s="12">
        <v>4019.038</v>
      </c>
      <c r="H99" s="18"/>
      <c r="I99" s="18"/>
      <c r="J99" s="18"/>
      <c r="K99" s="22">
        <v>46093</v>
      </c>
      <c r="L99" s="9" t="s">
        <v>48</v>
      </c>
      <c r="M99" s="45" t="s">
        <v>46</v>
      </c>
      <c r="N99" s="45"/>
      <c r="O99" s="12"/>
      <c r="P99" s="25">
        <f>Таблица1[[#This Row],[Вес по  B\L]]+Таблица1[[#This Row],[Вес  на  борту   до  начала  грузовых операций ]]</f>
        <v>4019.038</v>
      </c>
      <c r="Q99" s="12" t="str">
        <f>CONCATENATE(Таблица1[[#This Row],[ТХ ]],"/",Таблица1[[#This Row],[Дата  составления  B\L]])</f>
        <v>т/х Дон Стар 2 ИМО 7911480/46093</v>
      </c>
      <c r="R99" s="45">
        <f>IF(YEAR(Таблица1[[#This Row],[Дата  составления  B\L]])=1900,"Нет Данных",YEAR(Таблица1[[#This Row],[Дата  составления  B\L]]))</f>
        <v>2026</v>
      </c>
      <c r="S99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99" s="45">
        <f>_xlfn.ISOWEEKNUM(Таблица1[[#This Row],[Дата  составления  B\L]])</f>
        <v>11</v>
      </c>
      <c r="U99" s="114">
        <f>IF(ISBLANK(Таблица1[[#This Row],[Дата  составления  B\L]]),DATE(1900,1,1),Таблица1[[#This Row],[Дата  составления  B\L]])</f>
        <v>46093</v>
      </c>
    </row>
    <row r="100" spans="2:21" x14ac:dyDescent="0.3">
      <c r="B100" s="49" t="s">
        <v>4</v>
      </c>
      <c r="C100" s="8" t="s">
        <v>59</v>
      </c>
      <c r="D100" s="8" t="s">
        <v>22</v>
      </c>
      <c r="E100" s="12" t="s">
        <v>40</v>
      </c>
      <c r="F100" s="12">
        <v>4000</v>
      </c>
      <c r="G100" s="12">
        <v>4015.4270000000001</v>
      </c>
      <c r="H100" s="18"/>
      <c r="I100" s="18"/>
      <c r="J100" s="18"/>
      <c r="K100" s="22">
        <v>46092</v>
      </c>
      <c r="L100" s="9" t="s">
        <v>48</v>
      </c>
      <c r="M100" s="45" t="s">
        <v>46</v>
      </c>
      <c r="N100" s="45"/>
      <c r="O100" s="12"/>
      <c r="P100" s="25">
        <f>Таблица1[[#This Row],[Вес по  B\L]]+Таблица1[[#This Row],[Вес  на  борту   до  начала  грузовых операций ]]</f>
        <v>4015.4270000000001</v>
      </c>
      <c r="Q100" s="12" t="str">
        <f>CONCATENATE(Таблица1[[#This Row],[ТХ ]],"/",Таблица1[[#This Row],[Дата  составления  B\L]])</f>
        <v>т/х Дон Стар 4 ИМО 7911478/46092</v>
      </c>
      <c r="R100" s="45">
        <f>IF(YEAR(Таблица1[[#This Row],[Дата  составления  B\L]])=1900,"Нет Данных",YEAR(Таблица1[[#This Row],[Дата  составления  B\L]]))</f>
        <v>2026</v>
      </c>
      <c r="S100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0" s="45">
        <f>_xlfn.ISOWEEKNUM(Таблица1[[#This Row],[Дата  составления  B\L]])</f>
        <v>11</v>
      </c>
      <c r="U100" s="114">
        <f>IF(ISBLANK(Таблица1[[#This Row],[Дата  составления  B\L]]),DATE(1900,1,1),Таблица1[[#This Row],[Дата  составления  B\L]])</f>
        <v>46092</v>
      </c>
    </row>
    <row r="101" spans="2:21" x14ac:dyDescent="0.3">
      <c r="B101" s="49" t="s">
        <v>1</v>
      </c>
      <c r="C101" s="8" t="s">
        <v>59</v>
      </c>
      <c r="D101" s="8" t="s">
        <v>22</v>
      </c>
      <c r="E101" s="12" t="s">
        <v>109</v>
      </c>
      <c r="F101" s="12">
        <v>3300</v>
      </c>
      <c r="G101" s="12"/>
      <c r="H101" s="18"/>
      <c r="I101" s="18"/>
      <c r="J101" s="18"/>
      <c r="K101" s="22"/>
      <c r="L101" s="9" t="s">
        <v>48</v>
      </c>
      <c r="M101" s="45" t="s">
        <v>46</v>
      </c>
      <c r="N101" s="45"/>
      <c r="O101" s="12"/>
      <c r="P101" s="25">
        <f>Таблица1[[#This Row],[Вес по  B\L]]+Таблица1[[#This Row],[Вес  на  борту   до  начала  грузовых операций ]]</f>
        <v>0</v>
      </c>
      <c r="Q101" s="12" t="str">
        <f>CONCATENATE(Таблица1[[#This Row],[ТХ ]],"/",Таблица1[[#This Row],[Дата  составления  B\L]])</f>
        <v>т/х Дон Стар 1 ИМО 8866735/</v>
      </c>
      <c r="R101" s="45" t="str">
        <f>IF(YEAR(Таблица1[[#This Row],[Дата  составления  B\L]])=1900,"Нет Данных",YEAR(Таблица1[[#This Row],[Дата  составления  B\L]]))</f>
        <v>Нет Данных</v>
      </c>
      <c r="S101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101" s="45">
        <f>_xlfn.ISOWEEKNUM(Таблица1[[#This Row],[Дата  составления  B\L]])</f>
        <v>52</v>
      </c>
      <c r="U101" s="114">
        <f>IF(ISBLANK(Таблица1[[#This Row],[Дата  составления  B\L]]),DATE(1900,1,1),Таблица1[[#This Row],[Дата  составления  B\L]])</f>
        <v>1</v>
      </c>
    </row>
    <row r="102" spans="2:21" x14ac:dyDescent="0.3">
      <c r="B102" s="49" t="s">
        <v>191</v>
      </c>
      <c r="C102" s="8" t="s">
        <v>49</v>
      </c>
      <c r="D102" s="8" t="s">
        <v>22</v>
      </c>
      <c r="E102" s="12" t="s">
        <v>40</v>
      </c>
      <c r="F102" s="12">
        <v>4700</v>
      </c>
      <c r="G102" s="12">
        <v>4610.7539999999999</v>
      </c>
      <c r="H102" s="18"/>
      <c r="I102" s="18"/>
      <c r="J102" s="18"/>
      <c r="K102" s="22">
        <v>46096</v>
      </c>
      <c r="L102" s="9" t="s">
        <v>48</v>
      </c>
      <c r="M102" s="45" t="s">
        <v>46</v>
      </c>
      <c r="N102" s="45"/>
      <c r="O102" s="12"/>
      <c r="P102" s="25">
        <f>Таблица1[[#This Row],[Вес по  B\L]]+Таблица1[[#This Row],[Вес  на  борту   до  начала  грузовых операций ]]</f>
        <v>4610.7539999999999</v>
      </c>
      <c r="Q102" s="12" t="str">
        <f>CONCATENATE(Таблица1[[#This Row],[ТХ ]],"/",Таблица1[[#This Row],[Дата  составления  B\L]])</f>
        <v>т/х Волго-Дон 5043 ИМО8866321/46096</v>
      </c>
      <c r="R102" s="45">
        <f>IF(YEAR(Таблица1[[#This Row],[Дата  составления  B\L]])=1900,"Нет Данных",YEAR(Таблица1[[#This Row],[Дата  составления  B\L]]))</f>
        <v>2026</v>
      </c>
      <c r="S102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2" s="45">
        <f>_xlfn.ISOWEEKNUM(Таблица1[[#This Row],[Дата  составления  B\L]])</f>
        <v>11</v>
      </c>
      <c r="U102" s="114">
        <f>IF(ISBLANK(Таблица1[[#This Row],[Дата  составления  B\L]]),DATE(1900,1,1),Таблица1[[#This Row],[Дата  составления  B\L]])</f>
        <v>46096</v>
      </c>
    </row>
    <row r="103" spans="2:21" x14ac:dyDescent="0.3">
      <c r="B103" s="49" t="s">
        <v>192</v>
      </c>
      <c r="C103" s="8" t="s">
        <v>59</v>
      </c>
      <c r="D103" s="8" t="s">
        <v>22</v>
      </c>
      <c r="E103" s="12" t="s">
        <v>40</v>
      </c>
      <c r="F103" s="12">
        <v>2000</v>
      </c>
      <c r="G103" s="12">
        <v>1971.59</v>
      </c>
      <c r="H103" s="18"/>
      <c r="I103" s="18"/>
      <c r="J103" s="18"/>
      <c r="K103" s="22">
        <v>46101</v>
      </c>
      <c r="L103" s="9" t="s">
        <v>48</v>
      </c>
      <c r="M103" s="45" t="s">
        <v>46</v>
      </c>
      <c r="N103" s="45"/>
      <c r="O103" s="12"/>
      <c r="P103" s="25">
        <f>Таблица1[[#This Row],[Вес по  B\L]]+Таблица1[[#This Row],[Вес  на  борту   до  начала  грузовых операций ]]</f>
        <v>1971.59</v>
      </c>
      <c r="Q103" s="12" t="str">
        <f>CONCATENATE(Таблица1[[#This Row],[ТХ ]],"/",Таблица1[[#This Row],[Дата  составления  B\L]])</f>
        <v>т/х Абрамцево ИМО8947955/46101</v>
      </c>
      <c r="R103" s="45">
        <f>IF(YEAR(Таблица1[[#This Row],[Дата  составления  B\L]])=1900,"Нет Данных",YEAR(Таблица1[[#This Row],[Дата  составления  B\L]]))</f>
        <v>2026</v>
      </c>
      <c r="S103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3" s="45">
        <f>_xlfn.ISOWEEKNUM(Таблица1[[#This Row],[Дата  составления  B\L]])</f>
        <v>12</v>
      </c>
      <c r="U103" s="114">
        <f>IF(ISBLANK(Таблица1[[#This Row],[Дата  составления  B\L]]),DATE(1900,1,1),Таблица1[[#This Row],[Дата  составления  B\L]])</f>
        <v>46101</v>
      </c>
    </row>
    <row r="104" spans="2:21" x14ac:dyDescent="0.3">
      <c r="B104" s="76" t="s">
        <v>175</v>
      </c>
      <c r="C104" s="8" t="s">
        <v>59</v>
      </c>
      <c r="D104" s="8" t="s">
        <v>22</v>
      </c>
      <c r="E104" s="11" t="s">
        <v>40</v>
      </c>
      <c r="F104" s="11">
        <v>3700</v>
      </c>
      <c r="G104" s="11">
        <v>3700.7159999999999</v>
      </c>
      <c r="H104" s="17"/>
      <c r="I104" s="17"/>
      <c r="J104" s="17"/>
      <c r="K104" s="22">
        <v>46098</v>
      </c>
      <c r="L104" s="9" t="s">
        <v>48</v>
      </c>
      <c r="M104" s="45" t="s">
        <v>46</v>
      </c>
      <c r="N104" s="44"/>
      <c r="O104" s="11"/>
      <c r="P104" s="11">
        <f>Таблица1[[#This Row],[Вес по  B\L]]+Таблица1[[#This Row],[Вес  на  борту   до  начала  грузовых операций ]]</f>
        <v>3700.7159999999999</v>
      </c>
      <c r="Q104" s="11" t="str">
        <f>CONCATENATE(Таблица1[[#This Row],[ТХ ]],"/",Таблица1[[#This Row],[Дата  составления  B\L]])</f>
        <v>т/х Святой Спиридон ИМО9087104/46098</v>
      </c>
      <c r="R104" s="44">
        <f>IF(YEAR(Таблица1[[#This Row],[Дата  составления  B\L]])=1900,"Нет Данных",YEAR(Таблица1[[#This Row],[Дата  составления  B\L]]))</f>
        <v>2026</v>
      </c>
      <c r="S104" s="44" t="str">
        <f>IF(TEXT(Таблица1[[#This Row],[Дата  составления  B\L]],"ММММ")=1900,"Нет Данных",TEXT(Таблица1[[#This Row],[Дата  составления  B\L]],"ММММ"))</f>
        <v>Март</v>
      </c>
      <c r="T104" s="44">
        <f>_xlfn.ISOWEEKNUM(Таблица1[[#This Row],[Дата  составления  B\L]])</f>
        <v>12</v>
      </c>
      <c r="U104" s="114">
        <f>IF(ISBLANK(Таблица1[[#This Row],[Дата  составления  B\L]]),DATE(1900,1,1),Таблица1[[#This Row],[Дата  составления  B\L]])</f>
        <v>46098</v>
      </c>
    </row>
    <row r="105" spans="2:21" x14ac:dyDescent="0.3">
      <c r="B105" s="76" t="s">
        <v>63</v>
      </c>
      <c r="C105" s="3" t="s">
        <v>19</v>
      </c>
      <c r="D105" s="8" t="s">
        <v>22</v>
      </c>
      <c r="E105" s="11" t="s">
        <v>40</v>
      </c>
      <c r="F105" s="11">
        <v>4600</v>
      </c>
      <c r="G105" s="11">
        <v>4680.1400000000003</v>
      </c>
      <c r="H105" s="17"/>
      <c r="I105" s="17"/>
      <c r="J105" s="17"/>
      <c r="K105" s="22">
        <v>46100</v>
      </c>
      <c r="L105" s="9" t="s">
        <v>48</v>
      </c>
      <c r="M105" s="45" t="s">
        <v>46</v>
      </c>
      <c r="N105" s="44"/>
      <c r="O105" s="11"/>
      <c r="P105" s="11">
        <f>Таблица1[[#This Row],[Вес по  B\L]]+Таблица1[[#This Row],[Вес  на  борту   до  начала  грузовых операций ]]</f>
        <v>4680.1400000000003</v>
      </c>
      <c r="Q105" s="11" t="str">
        <f>CONCATENATE(Таблица1[[#This Row],[ТХ ]],"/",Таблица1[[#This Row],[Дата  составления  B\L]])</f>
        <v>т/х В.Успенский   ИМО 8946389/46100</v>
      </c>
      <c r="R105" s="44">
        <f>IF(YEAR(Таблица1[[#This Row],[Дата  составления  B\L]])=1900,"Нет Данных",YEAR(Таблица1[[#This Row],[Дата  составления  B\L]]))</f>
        <v>2026</v>
      </c>
      <c r="S105" s="44" t="str">
        <f>IF(TEXT(Таблица1[[#This Row],[Дата  составления  B\L]],"ММММ")=1900,"Нет Данных",TEXT(Таблица1[[#This Row],[Дата  составления  B\L]],"ММММ"))</f>
        <v>Март</v>
      </c>
      <c r="T105" s="44">
        <f>_xlfn.ISOWEEKNUM(Таблица1[[#This Row],[Дата  составления  B\L]])</f>
        <v>12</v>
      </c>
      <c r="U105" s="114">
        <f>IF(ISBLANK(Таблица1[[#This Row],[Дата  составления  B\L]]),DATE(1900,1,1),Таблица1[[#This Row],[Дата  составления  B\L]])</f>
        <v>46100</v>
      </c>
    </row>
    <row r="106" spans="2:21" x14ac:dyDescent="0.3">
      <c r="B106" s="49" t="s">
        <v>176</v>
      </c>
      <c r="C106" s="8" t="s">
        <v>59</v>
      </c>
      <c r="D106" s="8" t="s">
        <v>22</v>
      </c>
      <c r="E106" s="12" t="s">
        <v>40</v>
      </c>
      <c r="F106" s="12">
        <v>2800</v>
      </c>
      <c r="G106" s="12">
        <v>2800.1619999999998</v>
      </c>
      <c r="H106" s="18"/>
      <c r="I106" s="18"/>
      <c r="J106" s="18"/>
      <c r="K106" s="22">
        <v>46096</v>
      </c>
      <c r="L106" s="9" t="s">
        <v>48</v>
      </c>
      <c r="M106" s="45" t="s">
        <v>46</v>
      </c>
      <c r="N106" s="45"/>
      <c r="O106" s="12"/>
      <c r="P106" s="25">
        <f>Таблица1[[#This Row],[Вес по  B\L]]+Таблица1[[#This Row],[Вес  на  борту   до  начала  грузовых операций ]]</f>
        <v>2800.1619999999998</v>
      </c>
      <c r="Q106" s="12" t="str">
        <f>CONCATENATE(Таблица1[[#This Row],[ТХ ]],"/",Таблица1[[#This Row],[Дата  составления  B\L]])</f>
        <v>т/х Дон 7111420/46096</v>
      </c>
      <c r="R106" s="45">
        <f>IF(YEAR(Таблица1[[#This Row],[Дата  составления  B\L]])=1900,"Нет Данных",YEAR(Таблица1[[#This Row],[Дата  составления  B\L]]))</f>
        <v>2026</v>
      </c>
      <c r="S106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6" s="45">
        <f>_xlfn.ISOWEEKNUM(Таблица1[[#This Row],[Дата  составления  B\L]])</f>
        <v>11</v>
      </c>
      <c r="U106" s="114">
        <f>IF(ISBLANK(Таблица1[[#This Row],[Дата  составления  B\L]]),DATE(1900,1,1),Таблица1[[#This Row],[Дата  составления  B\L]])</f>
        <v>46096</v>
      </c>
    </row>
    <row r="107" spans="2:21" x14ac:dyDescent="0.3">
      <c r="B107" s="49" t="s">
        <v>7</v>
      </c>
      <c r="C107" s="8" t="s">
        <v>207</v>
      </c>
      <c r="D107" s="8" t="s">
        <v>22</v>
      </c>
      <c r="E107" s="12" t="s">
        <v>40</v>
      </c>
      <c r="F107" s="12">
        <v>3300</v>
      </c>
      <c r="G107" s="12">
        <v>3207.54</v>
      </c>
      <c r="H107" s="18"/>
      <c r="I107" s="18"/>
      <c r="J107" s="18"/>
      <c r="K107" s="22">
        <v>46102</v>
      </c>
      <c r="L107" s="9" t="s">
        <v>48</v>
      </c>
      <c r="M107" s="45" t="s">
        <v>46</v>
      </c>
      <c r="N107" s="45"/>
      <c r="O107" s="12"/>
      <c r="P107" s="25">
        <f>Таблица1[[#This Row],[Вес по  B\L]]+Таблица1[[#This Row],[Вес  на  борту   до  начала  грузовых операций ]]</f>
        <v>3207.54</v>
      </c>
      <c r="Q107" s="12" t="str">
        <f>CONCATENATE(Таблица1[[#This Row],[ТХ ]],"/",Таблица1[[#This Row],[Дата  составления  B\L]])</f>
        <v>т/х Дон Стар 7 ИМО 8844153/46102</v>
      </c>
      <c r="R107" s="45">
        <f>IF(YEAR(Таблица1[[#This Row],[Дата  составления  B\L]])=1900,"Нет Данных",YEAR(Таблица1[[#This Row],[Дата  составления  B\L]]))</f>
        <v>2026</v>
      </c>
      <c r="S107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7" s="45">
        <f>_xlfn.ISOWEEKNUM(Таблица1[[#This Row],[Дата  составления  B\L]])</f>
        <v>12</v>
      </c>
      <c r="U107" s="114">
        <f>IF(ISBLANK(Таблица1[[#This Row],[Дата  составления  B\L]]),DATE(1900,1,1),Таблица1[[#This Row],[Дата  составления  B\L]])</f>
        <v>46102</v>
      </c>
    </row>
    <row r="108" spans="2:21" x14ac:dyDescent="0.3">
      <c r="B108" s="49" t="s">
        <v>23</v>
      </c>
      <c r="C108" s="8" t="s">
        <v>49</v>
      </c>
      <c r="D108" s="8" t="s">
        <v>22</v>
      </c>
      <c r="E108" s="12" t="s">
        <v>40</v>
      </c>
      <c r="F108" s="12">
        <v>4700</v>
      </c>
      <c r="G108" s="12">
        <v>4756.9629999999997</v>
      </c>
      <c r="H108" s="18"/>
      <c r="I108" s="18"/>
      <c r="J108" s="18"/>
      <c r="K108" s="22">
        <v>46099</v>
      </c>
      <c r="L108" s="9" t="s">
        <v>48</v>
      </c>
      <c r="M108" s="45" t="s">
        <v>46</v>
      </c>
      <c r="N108" s="45"/>
      <c r="O108" s="12"/>
      <c r="P108" s="25">
        <f>Таблица1[[#This Row],[Вес по  B\L]]+Таблица1[[#This Row],[Вес  на  борту   до  начала  грузовых операций ]]</f>
        <v>4756.9629999999997</v>
      </c>
      <c r="Q108" s="12" t="str">
        <f>CONCATENATE(Таблица1[[#This Row],[ТХ ]],"/",Таблица1[[#This Row],[Дата  составления  B\L]])</f>
        <v>Волго-Дон 5079 ИМО 8852784/46099</v>
      </c>
      <c r="R108" s="45">
        <f>IF(YEAR(Таблица1[[#This Row],[Дата  составления  B\L]])=1900,"Нет Данных",YEAR(Таблица1[[#This Row],[Дата  составления  B\L]]))</f>
        <v>2026</v>
      </c>
      <c r="S108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08" s="45">
        <f>_xlfn.ISOWEEKNUM(Таблица1[[#This Row],[Дата  составления  B\L]])</f>
        <v>12</v>
      </c>
      <c r="U108" s="114">
        <f>IF(ISBLANK(Таблица1[[#This Row],[Дата  составления  B\L]]),DATE(1900,1,1),Таблица1[[#This Row],[Дата  составления  B\L]])</f>
        <v>46099</v>
      </c>
    </row>
    <row r="109" spans="2:21" x14ac:dyDescent="0.3">
      <c r="B109" s="49" t="s">
        <v>2</v>
      </c>
      <c r="C109" s="8" t="s">
        <v>59</v>
      </c>
      <c r="D109" s="8" t="s">
        <v>22</v>
      </c>
      <c r="E109" s="12" t="s">
        <v>22</v>
      </c>
      <c r="F109" s="12">
        <v>4000</v>
      </c>
      <c r="G109" s="12">
        <v>4053.0749999999998</v>
      </c>
      <c r="H109" s="18"/>
      <c r="I109" s="18"/>
      <c r="J109" s="18"/>
      <c r="K109" s="22">
        <v>46114</v>
      </c>
      <c r="L109" s="9" t="s">
        <v>48</v>
      </c>
      <c r="M109" s="45" t="s">
        <v>46</v>
      </c>
      <c r="N109" s="45"/>
      <c r="O109" s="12"/>
      <c r="P109" s="25">
        <f>Таблица1[[#This Row],[Вес по  B\L]]+Таблица1[[#This Row],[Вес  на  борту   до  начала  грузовых операций ]]</f>
        <v>4053.0749999999998</v>
      </c>
      <c r="Q109" s="12" t="str">
        <f>CONCATENATE(Таблица1[[#This Row],[ТХ ]],"/",Таблица1[[#This Row],[Дата  составления  B\L]])</f>
        <v>т/х Дон Стар 2 ИМО 7911480/46114</v>
      </c>
      <c r="R109" s="45">
        <f>IF(YEAR(Таблица1[[#This Row],[Дата  составления  B\L]])=1900,"Нет Данных",YEAR(Таблица1[[#This Row],[Дата  составления  B\L]]))</f>
        <v>2026</v>
      </c>
      <c r="S109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09" s="45">
        <f>_xlfn.ISOWEEKNUM(Таблица1[[#This Row],[Дата  составления  B\L]])</f>
        <v>14</v>
      </c>
      <c r="U109" s="114">
        <f>IF(ISBLANK(Таблица1[[#This Row],[Дата  составления  B\L]]),DATE(1900,1,1),Таблица1[[#This Row],[Дата  составления  B\L]])</f>
        <v>46114</v>
      </c>
    </row>
    <row r="110" spans="2:21" x14ac:dyDescent="0.3">
      <c r="B110" s="49" t="s">
        <v>4</v>
      </c>
      <c r="C110" s="8" t="s">
        <v>49</v>
      </c>
      <c r="D110" s="8" t="s">
        <v>22</v>
      </c>
      <c r="E110" s="12" t="s">
        <v>108</v>
      </c>
      <c r="F110" s="12">
        <v>4000</v>
      </c>
      <c r="G110" s="12">
        <v>1346.396</v>
      </c>
      <c r="H110" s="18"/>
      <c r="I110" s="18"/>
      <c r="J110" s="18"/>
      <c r="K110" s="22">
        <v>46113</v>
      </c>
      <c r="L110" s="9" t="s">
        <v>48</v>
      </c>
      <c r="M110" s="45" t="s">
        <v>46</v>
      </c>
      <c r="N110" s="45"/>
      <c r="O110" s="12"/>
      <c r="P110" s="25">
        <f>Таблица1[[#This Row],[Вес по  B\L]]+Таблица1[[#This Row],[Вес  на  борту   до  начала  грузовых операций ]]</f>
        <v>1346.396</v>
      </c>
      <c r="Q110" s="12" t="str">
        <f>CONCATENATE(Таблица1[[#This Row],[ТХ ]],"/",Таблица1[[#This Row],[Дата  составления  B\L]])</f>
        <v>т/х Дон Стар 4 ИМО 7911478/46113</v>
      </c>
      <c r="R110" s="45">
        <f>IF(YEAR(Таблица1[[#This Row],[Дата  составления  B\L]])=1900,"Нет Данных",YEAR(Таблица1[[#This Row],[Дата  составления  B\L]]))</f>
        <v>2026</v>
      </c>
      <c r="S110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10" s="45">
        <f>_xlfn.ISOWEEKNUM(Таблица1[[#This Row],[Дата  составления  B\L]])</f>
        <v>14</v>
      </c>
      <c r="U110" s="114">
        <f>IF(ISBLANK(Таблица1[[#This Row],[Дата  составления  B\L]]),DATE(1900,1,1),Таблица1[[#This Row],[Дата  составления  B\L]])</f>
        <v>46113</v>
      </c>
    </row>
    <row r="111" spans="2:21" x14ac:dyDescent="0.3">
      <c r="B111" s="49" t="s">
        <v>4</v>
      </c>
      <c r="C111" s="8" t="s">
        <v>207</v>
      </c>
      <c r="D111" s="8" t="s">
        <v>39</v>
      </c>
      <c r="E111" s="12" t="s">
        <v>108</v>
      </c>
      <c r="F111" s="12">
        <v>3000</v>
      </c>
      <c r="G111" s="12">
        <v>2675.78</v>
      </c>
      <c r="H111" s="18"/>
      <c r="I111" s="18"/>
      <c r="J111" s="18"/>
      <c r="K111" s="22">
        <v>46117</v>
      </c>
      <c r="L111" s="9" t="s">
        <v>48</v>
      </c>
      <c r="M111" s="45" t="s">
        <v>46</v>
      </c>
      <c r="N111" s="45"/>
      <c r="O111" s="12"/>
      <c r="P111" s="25">
        <f>Таблица1[[#This Row],[Вес по  B\L]]+Таблица1[[#This Row],[Вес  на  борту   до  начала  грузовых операций ]]</f>
        <v>2675.78</v>
      </c>
      <c r="Q111" s="12" t="str">
        <f>CONCATENATE(Таблица1[[#This Row],[ТХ ]],"/",Таблица1[[#This Row],[Дата  составления  B\L]])</f>
        <v>т/х Дон Стар 4 ИМО 7911478/46117</v>
      </c>
      <c r="R111" s="45">
        <f>IF(YEAR(Таблица1[[#This Row],[Дата  составления  B\L]])=1900,"Нет Данных",YEAR(Таблица1[[#This Row],[Дата  составления  B\L]]))</f>
        <v>2026</v>
      </c>
      <c r="S111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11" s="45">
        <f>_xlfn.ISOWEEKNUM(Таблица1[[#This Row],[Дата  составления  B\L]])</f>
        <v>14</v>
      </c>
      <c r="U111" s="114">
        <f>IF(ISBLANK(Таблица1[[#This Row],[Дата  составления  B\L]]),DATE(1900,1,1),Таблица1[[#This Row],[Дата  составления  B\L]])</f>
        <v>46117</v>
      </c>
    </row>
    <row r="112" spans="2:21" x14ac:dyDescent="0.3">
      <c r="B112" s="49" t="s">
        <v>5</v>
      </c>
      <c r="C112" s="8" t="s">
        <v>59</v>
      </c>
      <c r="D112" s="8" t="s">
        <v>22</v>
      </c>
      <c r="E112" s="12" t="s">
        <v>40</v>
      </c>
      <c r="F112" s="12">
        <v>3300</v>
      </c>
      <c r="G112" s="12">
        <v>2803.48</v>
      </c>
      <c r="H112" s="18"/>
      <c r="I112" s="18"/>
      <c r="J112" s="18"/>
      <c r="K112" s="22">
        <v>46103</v>
      </c>
      <c r="L112" s="9" t="s">
        <v>48</v>
      </c>
      <c r="M112" s="45" t="s">
        <v>46</v>
      </c>
      <c r="N112" s="45"/>
      <c r="O112" s="12"/>
      <c r="P112" s="25">
        <f>Таблица1[[#This Row],[Вес по  B\L]]+Таблица1[[#This Row],[Вес  на  борту   до  начала  грузовых операций ]]</f>
        <v>2803.48</v>
      </c>
      <c r="Q112" s="12" t="str">
        <f>CONCATENATE(Таблица1[[#This Row],[ТХ ]],"/",Таблица1[[#This Row],[Дата  составления  B\L]])</f>
        <v>т/х Дон Стар 5 ИМО 8955469/46103</v>
      </c>
      <c r="R112" s="45">
        <f>IF(YEAR(Таблица1[[#This Row],[Дата  составления  B\L]])=1900,"Нет Данных",YEAR(Таблица1[[#This Row],[Дата  составления  B\L]]))</f>
        <v>2026</v>
      </c>
      <c r="S112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2" s="45">
        <f>_xlfn.ISOWEEKNUM(Таблица1[[#This Row],[Дата  составления  B\L]])</f>
        <v>12</v>
      </c>
      <c r="U112" s="114">
        <f>IF(ISBLANK(Таблица1[[#This Row],[Дата  составления  B\L]]),DATE(1900,1,1),Таблица1[[#This Row],[Дата  составления  B\L]])</f>
        <v>46103</v>
      </c>
    </row>
    <row r="113" spans="2:21" x14ac:dyDescent="0.3">
      <c r="B113" s="49" t="s">
        <v>176</v>
      </c>
      <c r="C113" s="8" t="s">
        <v>59</v>
      </c>
      <c r="D113" s="8" t="s">
        <v>22</v>
      </c>
      <c r="E113" s="12" t="s">
        <v>40</v>
      </c>
      <c r="F113" s="12">
        <v>2800</v>
      </c>
      <c r="G113" s="12">
        <v>2812.44</v>
      </c>
      <c r="H113" s="18"/>
      <c r="I113" s="18"/>
      <c r="J113" s="18"/>
      <c r="K113" s="22">
        <v>46106</v>
      </c>
      <c r="L113" s="9" t="s">
        <v>48</v>
      </c>
      <c r="M113" s="45" t="s">
        <v>46</v>
      </c>
      <c r="N113" s="45"/>
      <c r="O113" s="12"/>
      <c r="P113" s="25">
        <f>Таблица1[[#This Row],[Вес по  B\L]]+Таблица1[[#This Row],[Вес  на  борту   до  начала  грузовых операций ]]</f>
        <v>2812.44</v>
      </c>
      <c r="Q113" s="12" t="str">
        <f>CONCATENATE(Таблица1[[#This Row],[ТХ ]],"/",Таблица1[[#This Row],[Дата  составления  B\L]])</f>
        <v>т/х Дон 7111420/46106</v>
      </c>
      <c r="R113" s="45">
        <f>IF(YEAR(Таблица1[[#This Row],[Дата  составления  B\L]])=1900,"Нет Данных",YEAR(Таблица1[[#This Row],[Дата  составления  B\L]]))</f>
        <v>2026</v>
      </c>
      <c r="S113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3" s="45">
        <f>_xlfn.ISOWEEKNUM(Таблица1[[#This Row],[Дата  составления  B\L]])</f>
        <v>13</v>
      </c>
      <c r="U113" s="114">
        <f>IF(ISBLANK(Таблица1[[#This Row],[Дата  составления  B\L]]),DATE(1900,1,1),Таблица1[[#This Row],[Дата  составления  B\L]])</f>
        <v>46106</v>
      </c>
    </row>
    <row r="114" spans="2:21" x14ac:dyDescent="0.3">
      <c r="B114" s="76" t="s">
        <v>209</v>
      </c>
      <c r="C114" s="8" t="s">
        <v>49</v>
      </c>
      <c r="D114" s="8" t="s">
        <v>22</v>
      </c>
      <c r="E114" s="12" t="s">
        <v>40</v>
      </c>
      <c r="F114" s="12">
        <v>5000</v>
      </c>
      <c r="G114" s="12">
        <v>5019.62</v>
      </c>
      <c r="H114" s="18"/>
      <c r="I114" s="18"/>
      <c r="J114" s="18"/>
      <c r="K114" s="22">
        <v>46104</v>
      </c>
      <c r="L114" s="9" t="s">
        <v>48</v>
      </c>
      <c r="M114" s="45" t="s">
        <v>46</v>
      </c>
      <c r="N114" s="44"/>
      <c r="O114" s="11"/>
      <c r="P114" s="25">
        <f>Таблица1[[#This Row],[Вес по  B\L]]+Таблица1[[#This Row],[Вес  на  борту   до  начала  грузовых операций ]]</f>
        <v>5019.62</v>
      </c>
      <c r="Q114" s="11" t="str">
        <f>CONCATENATE(Таблица1[[#This Row],[ТХ ]],"/",Таблица1[[#This Row],[Дата  составления  B\L]])</f>
        <v>т/х Соммерс ИМО7111420/46104</v>
      </c>
      <c r="R114" s="45">
        <f>IF(YEAR(Таблица1[[#This Row],[Дата  составления  B\L]])=1900,"Нет Данных",YEAR(Таблица1[[#This Row],[Дата  составления  B\L]]))</f>
        <v>2026</v>
      </c>
      <c r="S114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4" s="45">
        <f>_xlfn.ISOWEEKNUM(Таблица1[[#This Row],[Дата  составления  B\L]])</f>
        <v>13</v>
      </c>
      <c r="U114" s="114">
        <f>IF(ISBLANK(Таблица1[[#This Row],[Дата  составления  B\L]]),DATE(1900,1,1),Таблица1[[#This Row],[Дата  составления  B\L]])</f>
        <v>46104</v>
      </c>
    </row>
    <row r="115" spans="2:21" x14ac:dyDescent="0.3">
      <c r="B115" s="76" t="s">
        <v>23</v>
      </c>
      <c r="C115" s="3" t="s">
        <v>59</v>
      </c>
      <c r="D115" s="8" t="s">
        <v>22</v>
      </c>
      <c r="E115" s="12" t="s">
        <v>143</v>
      </c>
      <c r="F115" s="12">
        <v>4700</v>
      </c>
      <c r="G115" s="12">
        <v>4756.08</v>
      </c>
      <c r="H115" s="18"/>
      <c r="I115" s="18"/>
      <c r="J115" s="18"/>
      <c r="K115" s="22">
        <v>46117</v>
      </c>
      <c r="L115" s="9" t="s">
        <v>48</v>
      </c>
      <c r="M115" s="45" t="s">
        <v>46</v>
      </c>
      <c r="N115" s="44"/>
      <c r="O115" s="11"/>
      <c r="P115" s="25">
        <f>Таблица1[[#This Row],[Вес по  B\L]]+Таблица1[[#This Row],[Вес  на  борту   до  начала  грузовых операций ]]</f>
        <v>4756.08</v>
      </c>
      <c r="Q115" s="11" t="str">
        <f>CONCATENATE(Таблица1[[#This Row],[ТХ ]],"/",Таблица1[[#This Row],[Дата  составления  B\L]])</f>
        <v>Волго-Дон 5079 ИМО 8852784/46117</v>
      </c>
      <c r="R115" s="45">
        <f>IF(YEAR(Таблица1[[#This Row],[Дата  составления  B\L]])=1900,"Нет Данных",YEAR(Таблица1[[#This Row],[Дата  составления  B\L]]))</f>
        <v>2026</v>
      </c>
      <c r="S115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15" s="45">
        <f>_xlfn.ISOWEEKNUM(Таблица1[[#This Row],[Дата  составления  B\L]])</f>
        <v>14</v>
      </c>
      <c r="U115" s="114">
        <f>IF(ISBLANK(Таблица1[[#This Row],[Дата  составления  B\L]]),DATE(1900,1,1),Таблица1[[#This Row],[Дата  составления  B\L]])</f>
        <v>46117</v>
      </c>
    </row>
    <row r="116" spans="2:21" x14ac:dyDescent="0.3">
      <c r="B116" s="76" t="s">
        <v>63</v>
      </c>
      <c r="C116" s="3" t="s">
        <v>19</v>
      </c>
      <c r="D116" s="8" t="s">
        <v>22</v>
      </c>
      <c r="E116" s="12" t="s">
        <v>108</v>
      </c>
      <c r="F116" s="12">
        <v>4600</v>
      </c>
      <c r="G116" s="12">
        <v>4817.8059999999996</v>
      </c>
      <c r="H116" s="18"/>
      <c r="I116" s="18"/>
      <c r="J116" s="18"/>
      <c r="K116" s="22">
        <v>46118</v>
      </c>
      <c r="L116" s="9" t="s">
        <v>48</v>
      </c>
      <c r="M116" s="45" t="s">
        <v>46</v>
      </c>
      <c r="N116" s="44"/>
      <c r="O116" s="11"/>
      <c r="P116" s="25">
        <f>Таблица1[[#This Row],[Вес по  B\L]]+Таблица1[[#This Row],[Вес  на  борту   до  начала  грузовых операций ]]</f>
        <v>4817.8059999999996</v>
      </c>
      <c r="Q116" s="11" t="str">
        <f>CONCATENATE(Таблица1[[#This Row],[ТХ ]],"/",Таблица1[[#This Row],[Дата  составления  B\L]])</f>
        <v>т/х В.Успенский   ИМО 8946389/46118</v>
      </c>
      <c r="R116" s="45">
        <f>IF(YEAR(Таблица1[[#This Row],[Дата  составления  B\L]])=1900,"Нет Данных",YEAR(Таблица1[[#This Row],[Дата  составления  B\L]]))</f>
        <v>2026</v>
      </c>
      <c r="S116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16" s="45">
        <f>_xlfn.ISOWEEKNUM(Таблица1[[#This Row],[Дата  составления  B\L]])</f>
        <v>15</v>
      </c>
      <c r="U116" s="114">
        <f>IF(ISBLANK(Таблица1[[#This Row],[Дата  составления  B\L]]),DATE(1900,1,1),Таблица1[[#This Row],[Дата  составления  B\L]])</f>
        <v>46118</v>
      </c>
    </row>
    <row r="117" spans="2:21" x14ac:dyDescent="0.3">
      <c r="B117" s="49" t="s">
        <v>175</v>
      </c>
      <c r="C117" s="8" t="s">
        <v>59</v>
      </c>
      <c r="D117" s="8" t="s">
        <v>22</v>
      </c>
      <c r="E117" s="12" t="s">
        <v>40</v>
      </c>
      <c r="F117" s="12">
        <v>3700</v>
      </c>
      <c r="G117" s="12">
        <v>3668.1</v>
      </c>
      <c r="H117" s="18"/>
      <c r="I117" s="18"/>
      <c r="J117" s="18"/>
      <c r="K117" s="22">
        <v>46109</v>
      </c>
      <c r="L117" s="9" t="s">
        <v>48</v>
      </c>
      <c r="M117" s="45" t="s">
        <v>46</v>
      </c>
      <c r="N117" s="45"/>
      <c r="O117" s="12"/>
      <c r="P117" s="25">
        <f>Таблица1[[#This Row],[Вес по  B\L]]+Таблица1[[#This Row],[Вес  на  борту   до  начала  грузовых операций ]]</f>
        <v>3668.1</v>
      </c>
      <c r="Q117" s="12" t="str">
        <f>CONCATENATE(Таблица1[[#This Row],[ТХ ]],"/",Таблица1[[#This Row],[Дата  составления  B\L]])</f>
        <v>т/х Святой Спиридон ИМО9087104/46109</v>
      </c>
      <c r="R117" s="45">
        <f>IF(YEAR(Таблица1[[#This Row],[Дата  составления  B\L]])=1900,"Нет Данных",YEAR(Таблица1[[#This Row],[Дата  составления  B\L]]))</f>
        <v>2026</v>
      </c>
      <c r="S117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7" s="45">
        <f>_xlfn.ISOWEEKNUM(Таблица1[[#This Row],[Дата  составления  B\L]])</f>
        <v>13</v>
      </c>
      <c r="U117" s="114">
        <f>IF(ISBLANK(Таблица1[[#This Row],[Дата  составления  B\L]]),DATE(1900,1,1),Таблица1[[#This Row],[Дата  составления  B\L]])</f>
        <v>46109</v>
      </c>
    </row>
    <row r="118" spans="2:21" x14ac:dyDescent="0.3">
      <c r="B118" s="49" t="s">
        <v>210</v>
      </c>
      <c r="C118" s="8" t="s">
        <v>49</v>
      </c>
      <c r="D118" s="8" t="s">
        <v>22</v>
      </c>
      <c r="E118" s="12" t="s">
        <v>40</v>
      </c>
      <c r="F118" s="12">
        <v>4500</v>
      </c>
      <c r="G118" s="12">
        <v>3761.5230000000001</v>
      </c>
      <c r="H118" s="18"/>
      <c r="I118" s="18"/>
      <c r="J118" s="18"/>
      <c r="K118" s="22">
        <v>46108</v>
      </c>
      <c r="L118" s="9" t="s">
        <v>48</v>
      </c>
      <c r="M118" s="45" t="s">
        <v>46</v>
      </c>
      <c r="N118" s="45"/>
      <c r="O118" s="12"/>
      <c r="P118" s="25">
        <f>Таблица1[[#This Row],[Вес по  B\L]]+Таблица1[[#This Row],[Вес  на  борту   до  начала  грузовых операций ]]</f>
        <v>3761.5230000000001</v>
      </c>
      <c r="Q118" s="12" t="str">
        <f>CONCATENATE(Таблица1[[#This Row],[ТХ ]],"/",Таблица1[[#This Row],[Дата  составления  B\L]])</f>
        <v>т/х Линда1 ИМО8951334/46108</v>
      </c>
      <c r="R118" s="45">
        <f>IF(YEAR(Таблица1[[#This Row],[Дата  составления  B\L]])=1900,"Нет Данных",YEAR(Таблица1[[#This Row],[Дата  составления  B\L]]))</f>
        <v>2026</v>
      </c>
      <c r="S118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8" s="45">
        <f>_xlfn.ISOWEEKNUM(Таблица1[[#This Row],[Дата  составления  B\L]])</f>
        <v>13</v>
      </c>
      <c r="U118" s="114">
        <f>IF(ISBLANK(Таблица1[[#This Row],[Дата  составления  B\L]]),DATE(1900,1,1),Таблица1[[#This Row],[Дата  составления  B\L]])</f>
        <v>46108</v>
      </c>
    </row>
    <row r="119" spans="2:21" x14ac:dyDescent="0.3">
      <c r="B119" s="49" t="s">
        <v>210</v>
      </c>
      <c r="C119" s="8" t="s">
        <v>59</v>
      </c>
      <c r="D119" s="8" t="s">
        <v>39</v>
      </c>
      <c r="E119" s="12" t="s">
        <v>40</v>
      </c>
      <c r="F119" s="12">
        <v>850</v>
      </c>
      <c r="G119" s="12">
        <v>819.62099999999998</v>
      </c>
      <c r="H119" s="18"/>
      <c r="I119" s="18"/>
      <c r="J119" s="18"/>
      <c r="K119" s="22">
        <v>46110</v>
      </c>
      <c r="L119" s="9" t="s">
        <v>48</v>
      </c>
      <c r="M119" s="45" t="s">
        <v>46</v>
      </c>
      <c r="N119" s="45"/>
      <c r="O119" s="12"/>
      <c r="P119" s="25">
        <f>Таблица1[[#This Row],[Вес по  B\L]]+Таблица1[[#This Row],[Вес  на  борту   до  начала  грузовых операций ]]</f>
        <v>819.62099999999998</v>
      </c>
      <c r="Q119" s="12" t="str">
        <f>CONCATENATE(Таблица1[[#This Row],[ТХ ]],"/",Таблица1[[#This Row],[Дата  составления  B\L]])</f>
        <v>т/х Линда1 ИМО8951334/46110</v>
      </c>
      <c r="R119" s="45">
        <f>IF(YEAR(Таблица1[[#This Row],[Дата  составления  B\L]])=1900,"Нет Данных",YEAR(Таблица1[[#This Row],[Дата  составления  B\L]]))</f>
        <v>2026</v>
      </c>
      <c r="S119" s="45" t="str">
        <f>IF(TEXT(Таблица1[[#This Row],[Дата  составления  B\L]],"ММММ")=1900,"Нет Данных",TEXT(Таблица1[[#This Row],[Дата  составления  B\L]],"ММММ"))</f>
        <v>Март</v>
      </c>
      <c r="T119" s="45">
        <f>_xlfn.ISOWEEKNUM(Таблица1[[#This Row],[Дата  составления  B\L]])</f>
        <v>13</v>
      </c>
      <c r="U119" s="114">
        <f>IF(ISBLANK(Таблица1[[#This Row],[Дата  составления  B\L]]),DATE(1900,1,1),Таблица1[[#This Row],[Дата  составления  B\L]])</f>
        <v>46110</v>
      </c>
    </row>
    <row r="120" spans="2:21" x14ac:dyDescent="0.3">
      <c r="B120" s="49" t="s">
        <v>211</v>
      </c>
      <c r="C120" s="8" t="s">
        <v>207</v>
      </c>
      <c r="D120" s="8" t="s">
        <v>22</v>
      </c>
      <c r="E120" s="12" t="s">
        <v>108</v>
      </c>
      <c r="F120" s="12">
        <v>4800</v>
      </c>
      <c r="G120" s="12">
        <v>4800</v>
      </c>
      <c r="H120" s="18"/>
      <c r="I120" s="18"/>
      <c r="J120" s="18"/>
      <c r="K120" s="22">
        <v>46113</v>
      </c>
      <c r="L120" s="9" t="s">
        <v>48</v>
      </c>
      <c r="M120" s="45" t="s">
        <v>46</v>
      </c>
      <c r="N120" s="45"/>
      <c r="O120" s="12"/>
      <c r="P120" s="25">
        <f>Таблица1[[#This Row],[Вес по  B\L]]+Таблица1[[#This Row],[Вес  на  борту   до  начала  грузовых операций ]]</f>
        <v>4800</v>
      </c>
      <c r="Q120" s="12" t="str">
        <f>CONCATENATE(Таблица1[[#This Row],[ТХ ]],"/",Таблица1[[#This Row],[Дата  составления  B\L]])</f>
        <v>т/х Волго-Дон219 ИМО8959207/46113</v>
      </c>
      <c r="R120" s="45">
        <f>IF(YEAR(Таблица1[[#This Row],[Дата  составления  B\L]])=1900,"Нет Данных",YEAR(Таблица1[[#This Row],[Дата  составления  B\L]]))</f>
        <v>2026</v>
      </c>
      <c r="S120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20" s="45">
        <f>_xlfn.ISOWEEKNUM(Таблица1[[#This Row],[Дата  составления  B\L]])</f>
        <v>14</v>
      </c>
      <c r="U120" s="114">
        <f>IF(ISBLANK(Таблица1[[#This Row],[Дата  составления  B\L]]),DATE(1900,1,1),Таблица1[[#This Row],[Дата  составления  B\L]])</f>
        <v>46113</v>
      </c>
    </row>
    <row r="121" spans="2:21" x14ac:dyDescent="0.3">
      <c r="B121" s="49" t="s">
        <v>192</v>
      </c>
      <c r="C121" s="8" t="s">
        <v>14</v>
      </c>
      <c r="D121" s="8" t="s">
        <v>22</v>
      </c>
      <c r="E121" s="12" t="s">
        <v>22</v>
      </c>
      <c r="F121" s="12">
        <v>1970</v>
      </c>
      <c r="G121" s="12"/>
      <c r="H121" s="18"/>
      <c r="I121" s="18"/>
      <c r="J121" s="18"/>
      <c r="K121" s="22"/>
      <c r="L121" s="9" t="s">
        <v>48</v>
      </c>
      <c r="M121" s="45" t="s">
        <v>46</v>
      </c>
      <c r="N121" s="45"/>
      <c r="O121" s="12"/>
      <c r="P121" s="25">
        <f>Таблица1[[#This Row],[Вес по  B\L]]+Таблица1[[#This Row],[Вес  на  борту   до  начала  грузовых операций ]]</f>
        <v>0</v>
      </c>
      <c r="Q121" s="12" t="str">
        <f>CONCATENATE(Таблица1[[#This Row],[ТХ ]],"/",Таблица1[[#This Row],[Дата  составления  B\L]])</f>
        <v>т/х Абрамцево ИМО8947955/</v>
      </c>
      <c r="R121" s="45" t="str">
        <f>IF(YEAR(Таблица1[[#This Row],[Дата  составления  B\L]])=1900,"Нет Данных",YEAR(Таблица1[[#This Row],[Дата  составления  B\L]]))</f>
        <v>Нет Данных</v>
      </c>
      <c r="S121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121" s="45">
        <f>_xlfn.ISOWEEKNUM(Таблица1[[#This Row],[Дата  составления  B\L]])</f>
        <v>52</v>
      </c>
      <c r="U121" s="114">
        <f>IF(ISBLANK(Таблица1[[#This Row],[Дата  составления  B\L]]),DATE(1900,1,1),Таблица1[[#This Row],[Дата  составления  B\L]])</f>
        <v>1</v>
      </c>
    </row>
    <row r="122" spans="2:21" x14ac:dyDescent="0.3">
      <c r="B122" s="49" t="s">
        <v>7</v>
      </c>
      <c r="C122" s="8"/>
      <c r="D122" s="8" t="s">
        <v>22</v>
      </c>
      <c r="E122" s="12" t="s">
        <v>109</v>
      </c>
      <c r="F122" s="12">
        <v>3300</v>
      </c>
      <c r="G122" s="12"/>
      <c r="H122" s="18"/>
      <c r="I122" s="18"/>
      <c r="J122" s="18"/>
      <c r="K122" s="22"/>
      <c r="L122" s="9" t="s">
        <v>48</v>
      </c>
      <c r="M122" s="45" t="s">
        <v>46</v>
      </c>
      <c r="N122" s="45"/>
      <c r="O122" s="12"/>
      <c r="P122" s="25">
        <f>Таблица1[[#This Row],[Вес по  B\L]]+Таблица1[[#This Row],[Вес  на  борту   до  начала  грузовых операций ]]</f>
        <v>0</v>
      </c>
      <c r="Q122" s="12" t="str">
        <f>CONCATENATE(Таблица1[[#This Row],[ТХ ]],"/",Таблица1[[#This Row],[Дата  составления  B\L]])</f>
        <v>т/х Дон Стар 7 ИМО 8844153/</v>
      </c>
      <c r="R122" s="45" t="str">
        <f>IF(YEAR(Таблица1[[#This Row],[Дата  составления  B\L]])=1900,"Нет Данных",YEAR(Таблица1[[#This Row],[Дата  составления  B\L]]))</f>
        <v>Нет Данных</v>
      </c>
      <c r="S122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122" s="45">
        <f>_xlfn.ISOWEEKNUM(Таблица1[[#This Row],[Дата  составления  B\L]])</f>
        <v>52</v>
      </c>
      <c r="U122" s="114">
        <f>IF(ISBLANK(Таблица1[[#This Row],[Дата  составления  B\L]]),DATE(1900,1,1),Таблица1[[#This Row],[Дата  составления  B\L]])</f>
        <v>1</v>
      </c>
    </row>
    <row r="123" spans="2:21" x14ac:dyDescent="0.3">
      <c r="B123" s="49" t="s">
        <v>5</v>
      </c>
      <c r="C123" s="8"/>
      <c r="D123" s="8" t="s">
        <v>22</v>
      </c>
      <c r="E123" s="12" t="s">
        <v>109</v>
      </c>
      <c r="F123" s="12">
        <v>3300</v>
      </c>
      <c r="G123" s="12"/>
      <c r="H123" s="18"/>
      <c r="I123" s="18"/>
      <c r="J123" s="18"/>
      <c r="K123" s="22"/>
      <c r="L123" s="9" t="s">
        <v>48</v>
      </c>
      <c r="M123" s="45" t="s">
        <v>46</v>
      </c>
      <c r="N123" s="45"/>
      <c r="O123" s="12"/>
      <c r="P123" s="25">
        <f>Таблица1[[#This Row],[Вес по  B\L]]+Таблица1[[#This Row],[Вес  на  борту   до  начала  грузовых операций ]]</f>
        <v>0</v>
      </c>
      <c r="Q123" s="12" t="str">
        <f>CONCATENATE(Таблица1[[#This Row],[ТХ ]],"/",Таблица1[[#This Row],[Дата  составления  B\L]])</f>
        <v>т/х Дон Стар 5 ИМО 8955469/</v>
      </c>
      <c r="R123" s="45" t="str">
        <f>IF(YEAR(Таблица1[[#This Row],[Дата  составления  B\L]])=1900,"Нет Данных",YEAR(Таблица1[[#This Row],[Дата  составления  B\L]]))</f>
        <v>Нет Данных</v>
      </c>
      <c r="S123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123" s="45">
        <f>_xlfn.ISOWEEKNUM(Таблица1[[#This Row],[Дата  составления  B\L]])</f>
        <v>52</v>
      </c>
      <c r="U123" s="114">
        <f>IF(ISBLANK(Таблица1[[#This Row],[Дата  составления  B\L]]),DATE(1900,1,1),Таблица1[[#This Row],[Дата  составления  B\L]])</f>
        <v>1</v>
      </c>
    </row>
    <row r="124" spans="2:21" x14ac:dyDescent="0.3">
      <c r="B124" s="49" t="s">
        <v>8</v>
      </c>
      <c r="C124" s="8" t="s">
        <v>14</v>
      </c>
      <c r="D124" s="8" t="s">
        <v>22</v>
      </c>
      <c r="E124" s="12" t="s">
        <v>74</v>
      </c>
      <c r="F124" s="12">
        <v>3300</v>
      </c>
      <c r="G124" s="12"/>
      <c r="H124" s="18"/>
      <c r="I124" s="18"/>
      <c r="J124" s="18"/>
      <c r="K124" s="22"/>
      <c r="L124" s="9" t="s">
        <v>48</v>
      </c>
      <c r="M124" s="45" t="s">
        <v>46</v>
      </c>
      <c r="N124" s="45"/>
      <c r="O124" s="12"/>
      <c r="P124" s="25">
        <f>Таблица1[[#This Row],[Вес по  B\L]]+Таблица1[[#This Row],[Вес  на  борту   до  начала  грузовых операций ]]</f>
        <v>0</v>
      </c>
      <c r="Q124" s="12" t="str">
        <f>CONCATENATE(Таблица1[[#This Row],[ТХ ]],"/",Таблица1[[#This Row],[Дата  составления  B\L]])</f>
        <v>т/х Дон Стар 8 ИМО 8884957/</v>
      </c>
      <c r="R124" s="45" t="str">
        <f>IF(YEAR(Таблица1[[#This Row],[Дата  составления  B\L]])=1900,"Нет Данных",YEAR(Таблица1[[#This Row],[Дата  составления  B\L]]))</f>
        <v>Нет Данных</v>
      </c>
      <c r="S124" s="45" t="str">
        <f>IF(TEXT(Таблица1[[#This Row],[Дата  составления  B\L]],"ММММ")=1900,"Нет Данных",TEXT(Таблица1[[#This Row],[Дата  составления  B\L]],"ММММ"))</f>
        <v>Январь</v>
      </c>
      <c r="T124" s="45">
        <f>_xlfn.ISOWEEKNUM(Таблица1[[#This Row],[Дата  составления  B\L]])</f>
        <v>52</v>
      </c>
      <c r="U124" s="114">
        <f>IF(ISBLANK(Таблица1[[#This Row],[Дата  составления  B\L]]),DATE(1900,1,1),Таблица1[[#This Row],[Дата  составления  B\L]])</f>
        <v>1</v>
      </c>
    </row>
    <row r="125" spans="2:21" x14ac:dyDescent="0.3">
      <c r="B125" s="76" t="s">
        <v>176</v>
      </c>
      <c r="C125" s="3" t="s">
        <v>14</v>
      </c>
      <c r="D125" s="8" t="s">
        <v>22</v>
      </c>
      <c r="E125" s="12" t="s">
        <v>108</v>
      </c>
      <c r="F125" s="12">
        <v>2600</v>
      </c>
      <c r="G125" s="12">
        <v>2458.91</v>
      </c>
      <c r="H125" s="18"/>
      <c r="I125" s="18"/>
      <c r="J125" s="18"/>
      <c r="K125" s="22">
        <v>46117</v>
      </c>
      <c r="L125" s="9" t="s">
        <v>48</v>
      </c>
      <c r="M125" s="45" t="s">
        <v>46</v>
      </c>
      <c r="N125" s="44"/>
      <c r="O125" s="11"/>
      <c r="P125" s="25">
        <f>Таблица1[[#This Row],[Вес по  B\L]]+Таблица1[[#This Row],[Вес  на  борту   до  начала  грузовых операций ]]</f>
        <v>2458.91</v>
      </c>
      <c r="Q125" s="11" t="str">
        <f>CONCATENATE(Таблица1[[#This Row],[ТХ ]],"/",Таблица1[[#This Row],[Дата  составления  B\L]])</f>
        <v>т/х Дон 7111420/46117</v>
      </c>
      <c r="R125" s="45">
        <f>IF(YEAR(Таблица1[[#This Row],[Дата  составления  B\L]])=1900,"Нет Данных",YEAR(Таблица1[[#This Row],[Дата  составления  B\L]]))</f>
        <v>2026</v>
      </c>
      <c r="S125" s="45" t="str">
        <f>IF(TEXT(Таблица1[[#This Row],[Дата  составления  B\L]],"ММММ")=1900,"Нет Данных",TEXT(Таблица1[[#This Row],[Дата  составления  B\L]],"ММММ"))</f>
        <v>Апрель</v>
      </c>
      <c r="T125" s="45">
        <f>_xlfn.ISOWEEKNUM(Таблица1[[#This Row],[Дата  составления  B\L]])</f>
        <v>14</v>
      </c>
      <c r="U125" s="45">
        <f>IF(ISBLANK(Таблица1[[#This Row],[Дата  составления  B\L]]),DATE(1900,1,1),Таблица1[[#This Row],[Дата  составления  B\L]])</f>
        <v>46117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Список!$E$1:$E$21</xm:f>
          </x14:formula1>
          <xm:sqref>E8:E1048576</xm:sqref>
        </x14:dataValidation>
        <x14:dataValidation type="list" allowBlank="1" showInputMessage="1" showErrorMessage="1">
          <x14:formula1>
            <xm:f>Список!$C$1:$C$29</xm:f>
          </x14:formula1>
          <xm:sqref>B8:B1048576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D3:Q32"/>
  <sheetViews>
    <sheetView topLeftCell="C10" workbookViewId="0">
      <selection activeCell="H31" sqref="H31"/>
    </sheetView>
  </sheetViews>
  <sheetFormatPr defaultRowHeight="14.4" x14ac:dyDescent="0.3"/>
  <cols>
    <col min="4" max="5" width="42.109375" customWidth="1"/>
    <col min="7" max="7" width="33.88671875" customWidth="1"/>
    <col min="8" max="8" width="41.109375" customWidth="1"/>
    <col min="9" max="9" width="46.88671875" customWidth="1"/>
    <col min="11" max="11" width="30.6640625" customWidth="1"/>
    <col min="12" max="15" width="24.88671875" customWidth="1"/>
    <col min="16" max="16" width="29.44140625" customWidth="1"/>
  </cols>
  <sheetData>
    <row r="3" spans="4:17" ht="23.4" x14ac:dyDescent="0.45">
      <c r="K3" s="122" t="s">
        <v>150</v>
      </c>
      <c r="L3" s="122"/>
      <c r="M3" s="122"/>
      <c r="N3" s="122"/>
      <c r="O3" s="122"/>
      <c r="P3" s="122"/>
      <c r="Q3" s="61"/>
    </row>
    <row r="4" spans="4:17" ht="25.8" x14ac:dyDescent="0.5">
      <c r="D4" s="121" t="s">
        <v>148</v>
      </c>
      <c r="E4" s="121"/>
      <c r="K4" s="59" t="s">
        <v>0</v>
      </c>
      <c r="L4" s="60" t="s">
        <v>9</v>
      </c>
      <c r="M4" s="60" t="s">
        <v>84</v>
      </c>
      <c r="N4" s="60" t="s">
        <v>31</v>
      </c>
      <c r="O4" s="60" t="s">
        <v>12</v>
      </c>
      <c r="P4" s="55" t="s">
        <v>45</v>
      </c>
    </row>
    <row r="5" spans="4:17" ht="95.25" customHeight="1" x14ac:dyDescent="0.5">
      <c r="D5" s="58" t="s">
        <v>147</v>
      </c>
      <c r="E5" s="58" t="s">
        <v>149</v>
      </c>
      <c r="G5" t="s">
        <v>171</v>
      </c>
      <c r="K5" s="68" t="s">
        <v>23</v>
      </c>
      <c r="L5" s="2" t="s">
        <v>59</v>
      </c>
      <c r="M5" s="11">
        <v>4756.8789999999999</v>
      </c>
      <c r="N5" s="21">
        <v>46019</v>
      </c>
      <c r="O5" s="2" t="s">
        <v>48</v>
      </c>
      <c r="P5" s="69" t="s">
        <v>46</v>
      </c>
    </row>
    <row r="6" spans="4:17" ht="25.8" x14ac:dyDescent="0.5">
      <c r="D6" s="56" t="s">
        <v>145</v>
      </c>
      <c r="E6" s="56">
        <v>550</v>
      </c>
      <c r="H6" s="56" t="s">
        <v>145</v>
      </c>
      <c r="I6" s="56">
        <v>600</v>
      </c>
      <c r="K6" s="68" t="s">
        <v>23</v>
      </c>
      <c r="L6" s="2" t="s">
        <v>59</v>
      </c>
      <c r="M6" s="11">
        <v>4812.326</v>
      </c>
      <c r="N6" s="21">
        <v>45999</v>
      </c>
      <c r="O6" s="2" t="s">
        <v>48</v>
      </c>
      <c r="P6" s="69" t="s">
        <v>46</v>
      </c>
    </row>
    <row r="7" spans="4:17" ht="25.8" x14ac:dyDescent="0.5">
      <c r="D7" s="57" t="s">
        <v>168</v>
      </c>
      <c r="E7" s="57">
        <v>535</v>
      </c>
      <c r="H7" s="57" t="s">
        <v>146</v>
      </c>
      <c r="I7" s="57">
        <v>550</v>
      </c>
      <c r="K7" s="68" t="s">
        <v>63</v>
      </c>
      <c r="L7" s="2" t="s">
        <v>59</v>
      </c>
      <c r="M7" s="11">
        <v>4159.9269999999997</v>
      </c>
      <c r="N7" s="21">
        <v>46030</v>
      </c>
      <c r="O7" s="2" t="s">
        <v>48</v>
      </c>
      <c r="P7" s="69" t="s">
        <v>46</v>
      </c>
    </row>
    <row r="8" spans="4:17" ht="25.8" x14ac:dyDescent="0.5">
      <c r="D8" s="56" t="s">
        <v>169</v>
      </c>
      <c r="E8" s="56">
        <v>515</v>
      </c>
      <c r="H8" s="80">
        <v>50001</v>
      </c>
      <c r="I8" s="56">
        <v>535</v>
      </c>
      <c r="K8" s="68" t="s">
        <v>63</v>
      </c>
      <c r="L8" s="2" t="s">
        <v>59</v>
      </c>
      <c r="M8" s="11">
        <v>4300.5600000000004</v>
      </c>
      <c r="N8" s="21">
        <v>46054</v>
      </c>
      <c r="O8" s="2" t="s">
        <v>48</v>
      </c>
      <c r="P8" s="69" t="s">
        <v>46</v>
      </c>
    </row>
    <row r="9" spans="4:17" ht="25.8" x14ac:dyDescent="0.5">
      <c r="D9" s="57" t="s">
        <v>170</v>
      </c>
      <c r="E9" s="57">
        <v>500</v>
      </c>
      <c r="H9" s="57"/>
      <c r="I9" s="57"/>
      <c r="K9" s="68" t="s">
        <v>64</v>
      </c>
      <c r="L9" s="2" t="s">
        <v>59</v>
      </c>
      <c r="M9" s="11">
        <v>4196.6220000000003</v>
      </c>
      <c r="N9" s="21">
        <v>46021</v>
      </c>
      <c r="O9" s="2" t="s">
        <v>48</v>
      </c>
      <c r="P9" s="69" t="s">
        <v>46</v>
      </c>
    </row>
    <row r="10" spans="4:17" ht="25.8" x14ac:dyDescent="0.5">
      <c r="D10" s="80">
        <v>200000</v>
      </c>
      <c r="E10" s="56">
        <v>450</v>
      </c>
      <c r="H10" s="80"/>
      <c r="I10" s="56"/>
      <c r="K10" s="68" t="s">
        <v>1</v>
      </c>
      <c r="L10" s="2" t="s">
        <v>59</v>
      </c>
      <c r="M10" s="11">
        <v>3300.29</v>
      </c>
      <c r="N10" s="21">
        <v>46013</v>
      </c>
      <c r="O10" s="2" t="s">
        <v>48</v>
      </c>
      <c r="P10" s="69" t="s">
        <v>46</v>
      </c>
    </row>
    <row r="11" spans="4:17" x14ac:dyDescent="0.3">
      <c r="K11" s="68" t="s">
        <v>1</v>
      </c>
      <c r="L11" s="2" t="s">
        <v>59</v>
      </c>
      <c r="M11" s="11">
        <v>3300.42</v>
      </c>
      <c r="N11" s="21">
        <v>45994</v>
      </c>
      <c r="O11" s="2" t="s">
        <v>48</v>
      </c>
      <c r="P11" s="69" t="s">
        <v>46</v>
      </c>
    </row>
    <row r="12" spans="4:17" x14ac:dyDescent="0.3">
      <c r="K12" s="68" t="s">
        <v>1</v>
      </c>
      <c r="L12" s="2" t="s">
        <v>59</v>
      </c>
      <c r="M12" s="11">
        <v>3103.1849999999999</v>
      </c>
      <c r="N12" s="21">
        <v>46039</v>
      </c>
      <c r="O12" s="2" t="s">
        <v>48</v>
      </c>
      <c r="P12" s="69" t="s">
        <v>46</v>
      </c>
    </row>
    <row r="13" spans="4:17" x14ac:dyDescent="0.3">
      <c r="K13" s="68" t="s">
        <v>2</v>
      </c>
      <c r="L13" s="2" t="s">
        <v>59</v>
      </c>
      <c r="M13" s="11">
        <v>4001.7570000000001</v>
      </c>
      <c r="N13" s="21">
        <v>46049</v>
      </c>
      <c r="O13" s="2" t="s">
        <v>48</v>
      </c>
      <c r="P13" s="69" t="s">
        <v>46</v>
      </c>
    </row>
    <row r="14" spans="4:17" ht="25.8" x14ac:dyDescent="0.5">
      <c r="D14" s="56" t="s">
        <v>145</v>
      </c>
      <c r="E14" s="56">
        <v>550</v>
      </c>
      <c r="G14" t="s">
        <v>172</v>
      </c>
      <c r="K14" s="68" t="s">
        <v>4</v>
      </c>
      <c r="L14" s="2" t="s">
        <v>59</v>
      </c>
      <c r="M14" s="11">
        <v>4010.0010000000002</v>
      </c>
      <c r="N14" s="21">
        <v>45995</v>
      </c>
      <c r="O14" s="2" t="s">
        <v>48</v>
      </c>
      <c r="P14" s="69" t="s">
        <v>46</v>
      </c>
    </row>
    <row r="15" spans="4:17" ht="25.8" x14ac:dyDescent="0.5">
      <c r="D15" s="57" t="s">
        <v>168</v>
      </c>
      <c r="E15" s="57">
        <v>535</v>
      </c>
      <c r="K15" s="68" t="s">
        <v>4</v>
      </c>
      <c r="L15" s="2" t="s">
        <v>59</v>
      </c>
      <c r="M15" s="11">
        <v>4012.3980000000001</v>
      </c>
      <c r="N15" s="21">
        <v>46009</v>
      </c>
      <c r="O15" s="2" t="s">
        <v>48</v>
      </c>
      <c r="P15" s="69" t="s">
        <v>46</v>
      </c>
    </row>
    <row r="16" spans="4:17" ht="25.8" x14ac:dyDescent="0.5">
      <c r="D16" s="56" t="s">
        <v>169</v>
      </c>
      <c r="E16" s="56">
        <v>515</v>
      </c>
      <c r="K16" s="68"/>
      <c r="L16" s="2"/>
      <c r="M16" s="11"/>
      <c r="N16" s="21"/>
      <c r="O16" s="2"/>
      <c r="P16" s="69"/>
    </row>
    <row r="17" spans="4:16" ht="25.8" x14ac:dyDescent="0.5">
      <c r="D17" s="57" t="s">
        <v>170</v>
      </c>
      <c r="E17" s="57">
        <v>500</v>
      </c>
      <c r="K17" s="68"/>
      <c r="L17" s="2"/>
      <c r="M17" s="11"/>
      <c r="N17" s="21"/>
      <c r="O17" s="2"/>
      <c r="P17" s="69"/>
    </row>
    <row r="18" spans="4:16" ht="25.8" x14ac:dyDescent="0.5">
      <c r="D18" s="80">
        <v>200000</v>
      </c>
      <c r="E18" s="56">
        <v>450</v>
      </c>
      <c r="K18" s="68"/>
      <c r="L18" s="2"/>
      <c r="M18" s="11"/>
      <c r="N18" s="21"/>
      <c r="O18" s="2"/>
      <c r="P18" s="69"/>
    </row>
    <row r="19" spans="4:16" x14ac:dyDescent="0.3">
      <c r="K19" s="68"/>
      <c r="L19" s="2"/>
      <c r="M19" s="11"/>
      <c r="N19" s="21"/>
      <c r="O19" s="2"/>
      <c r="P19" s="69"/>
    </row>
    <row r="20" spans="4:16" x14ac:dyDescent="0.3">
      <c r="K20" s="68"/>
      <c r="L20" s="2"/>
      <c r="M20" s="11"/>
      <c r="N20" s="21"/>
      <c r="O20" s="2"/>
      <c r="P20" s="69"/>
    </row>
    <row r="21" spans="4:16" x14ac:dyDescent="0.3">
      <c r="K21" s="68" t="s">
        <v>4</v>
      </c>
      <c r="L21" s="2" t="s">
        <v>59</v>
      </c>
      <c r="M21" s="11">
        <v>4055.2460000000001</v>
      </c>
      <c r="N21" s="21">
        <v>46035</v>
      </c>
      <c r="O21" s="2" t="s">
        <v>48</v>
      </c>
      <c r="P21" s="69" t="s">
        <v>46</v>
      </c>
    </row>
    <row r="22" spans="4:16" x14ac:dyDescent="0.3">
      <c r="E22" t="s">
        <v>163</v>
      </c>
      <c r="K22" s="68" t="s">
        <v>5</v>
      </c>
      <c r="L22" s="2" t="s">
        <v>59</v>
      </c>
      <c r="M22" s="11">
        <v>2788.9839999999999</v>
      </c>
      <c r="N22" s="21">
        <v>45997</v>
      </c>
      <c r="O22" s="2" t="s">
        <v>48</v>
      </c>
      <c r="P22" s="69" t="s">
        <v>46</v>
      </c>
    </row>
    <row r="23" spans="4:16" x14ac:dyDescent="0.3">
      <c r="E23" t="s">
        <v>164</v>
      </c>
      <c r="K23" s="68" t="s">
        <v>5</v>
      </c>
      <c r="L23" s="2" t="s">
        <v>59</v>
      </c>
      <c r="M23" s="11">
        <v>3179.6790000000001</v>
      </c>
      <c r="N23" s="21">
        <v>46011</v>
      </c>
      <c r="O23" s="2" t="s">
        <v>48</v>
      </c>
      <c r="P23" s="69" t="s">
        <v>46</v>
      </c>
    </row>
    <row r="24" spans="4:16" x14ac:dyDescent="0.3">
      <c r="E24" t="s">
        <v>165</v>
      </c>
      <c r="K24" s="68" t="s">
        <v>5</v>
      </c>
      <c r="L24" s="2" t="s">
        <v>59</v>
      </c>
      <c r="M24" s="11">
        <v>3300.549</v>
      </c>
      <c r="N24" s="21">
        <v>46022</v>
      </c>
      <c r="O24" s="2" t="s">
        <v>48</v>
      </c>
      <c r="P24" s="69" t="s">
        <v>46</v>
      </c>
    </row>
    <row r="25" spans="4:16" x14ac:dyDescent="0.3">
      <c r="E25" t="s">
        <v>166</v>
      </c>
      <c r="K25" s="68" t="s">
        <v>6</v>
      </c>
      <c r="L25" s="2" t="s">
        <v>59</v>
      </c>
      <c r="M25" s="11">
        <v>2901.6239999999998</v>
      </c>
      <c r="N25" s="21">
        <v>45996</v>
      </c>
      <c r="O25" s="2" t="s">
        <v>48</v>
      </c>
      <c r="P25" s="69" t="s">
        <v>46</v>
      </c>
    </row>
    <row r="26" spans="4:16" x14ac:dyDescent="0.3">
      <c r="E26" t="s">
        <v>167</v>
      </c>
      <c r="K26" s="68" t="s">
        <v>6</v>
      </c>
      <c r="L26" s="2" t="s">
        <v>59</v>
      </c>
      <c r="M26" s="11">
        <v>3249.9639999999999</v>
      </c>
      <c r="N26" s="21">
        <v>46009</v>
      </c>
      <c r="O26" s="2" t="s">
        <v>48</v>
      </c>
      <c r="P26" s="69" t="s">
        <v>46</v>
      </c>
    </row>
    <row r="27" spans="4:16" x14ac:dyDescent="0.3">
      <c r="K27" s="68" t="s">
        <v>6</v>
      </c>
      <c r="L27" s="2" t="s">
        <v>59</v>
      </c>
      <c r="M27" s="11">
        <v>3251.2559999999999</v>
      </c>
      <c r="N27" s="21">
        <v>46025</v>
      </c>
      <c r="O27" s="2" t="s">
        <v>48</v>
      </c>
      <c r="P27" s="69" t="s">
        <v>46</v>
      </c>
    </row>
    <row r="28" spans="4:16" ht="29.25" customHeight="1" x14ac:dyDescent="0.3">
      <c r="K28" s="68" t="s">
        <v>7</v>
      </c>
      <c r="L28" s="2" t="s">
        <v>59</v>
      </c>
      <c r="M28" s="11">
        <v>3209.933</v>
      </c>
      <c r="N28" s="21">
        <v>46017</v>
      </c>
      <c r="O28" s="2" t="s">
        <v>48</v>
      </c>
      <c r="P28" s="69" t="s">
        <v>46</v>
      </c>
    </row>
    <row r="29" spans="4:16" ht="24.75" customHeight="1" x14ac:dyDescent="0.3">
      <c r="K29" s="68" t="s">
        <v>7</v>
      </c>
      <c r="L29" s="2" t="s">
        <v>59</v>
      </c>
      <c r="M29" s="11">
        <v>3214.2060000000001</v>
      </c>
      <c r="N29" s="21">
        <v>46003</v>
      </c>
      <c r="O29" s="2" t="s">
        <v>48</v>
      </c>
      <c r="P29" s="69" t="s">
        <v>46</v>
      </c>
    </row>
    <row r="30" spans="4:16" x14ac:dyDescent="0.3">
      <c r="K30" s="68" t="s">
        <v>8</v>
      </c>
      <c r="L30" s="2" t="s">
        <v>59</v>
      </c>
      <c r="M30" s="11">
        <v>2080.3939999999998</v>
      </c>
      <c r="N30" s="21">
        <v>45994</v>
      </c>
      <c r="O30" s="2" t="s">
        <v>48</v>
      </c>
      <c r="P30" s="69" t="s">
        <v>46</v>
      </c>
    </row>
    <row r="31" spans="4:16" x14ac:dyDescent="0.3">
      <c r="K31" s="62" t="s">
        <v>8</v>
      </c>
      <c r="L31" s="9" t="s">
        <v>59</v>
      </c>
      <c r="M31" s="12">
        <v>3299.9589999999998</v>
      </c>
      <c r="N31" s="22">
        <v>46018</v>
      </c>
      <c r="O31" s="9" t="s">
        <v>48</v>
      </c>
      <c r="P31" s="63" t="s">
        <v>46</v>
      </c>
    </row>
    <row r="32" spans="4:16" ht="18" x14ac:dyDescent="0.35">
      <c r="K32" s="64" t="s">
        <v>151</v>
      </c>
      <c r="L32" s="65"/>
      <c r="M32" s="66">
        <f>SUBTOTAL(109,Таблица6[Вес по  B\L   мт])</f>
        <v>78486.159000000014</v>
      </c>
      <c r="N32" s="65"/>
      <c r="O32" s="65"/>
      <c r="P32" s="67">
        <f>SUBTOTAL(103,Таблица6[[Отправитель   ]])</f>
        <v>22</v>
      </c>
    </row>
  </sheetData>
  <mergeCells count="2">
    <mergeCell ref="D4:E4"/>
    <mergeCell ref="K3:P3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A60"/>
  <sheetViews>
    <sheetView zoomScaleNormal="100" workbookViewId="0">
      <pane xSplit="1" ySplit="7" topLeftCell="B38" activePane="bottomRight" state="frozen"/>
      <selection pane="topRight" activeCell="B1" sqref="B1"/>
      <selection pane="bottomLeft" activeCell="A7" sqref="A7"/>
      <selection pane="bottomRight" activeCell="D60" sqref="D60"/>
    </sheetView>
  </sheetViews>
  <sheetFormatPr defaultRowHeight="14.4" x14ac:dyDescent="0.3"/>
  <cols>
    <col min="1" max="1" width="32.44140625" customWidth="1"/>
    <col min="2" max="2" width="21.44140625" customWidth="1"/>
    <col min="3" max="3" width="33.88671875" customWidth="1"/>
    <col min="4" max="4" width="18.44140625" style="13" customWidth="1"/>
    <col min="5" max="5" width="22.5546875" customWidth="1"/>
    <col min="6" max="6" width="19.109375" hidden="1" customWidth="1"/>
    <col min="7" max="7" width="17.33203125" hidden="1" customWidth="1"/>
    <col min="8" max="8" width="15" hidden="1" customWidth="1"/>
    <col min="9" max="10" width="26.44140625" style="13" customWidth="1"/>
    <col min="11" max="11" width="30" style="13" customWidth="1"/>
    <col min="12" max="12" width="40.109375" customWidth="1"/>
    <col min="13" max="13" width="19.44140625" customWidth="1"/>
    <col min="14" max="14" width="13.6640625" customWidth="1"/>
    <col min="16" max="16" width="17.6640625" style="19" bestFit="1" customWidth="1"/>
    <col min="17" max="17" width="24" style="19" customWidth="1"/>
    <col min="18" max="18" width="17.44140625" style="19" customWidth="1"/>
    <col min="20" max="22" width="17" style="13" customWidth="1"/>
    <col min="23" max="23" width="19.33203125" style="13" customWidth="1"/>
    <col min="24" max="24" width="19.5546875" style="13" customWidth="1"/>
    <col min="25" max="25" width="39" customWidth="1"/>
    <col min="26" max="26" width="22.33203125" customWidth="1"/>
    <col min="27" max="27" width="21.44140625" style="27" customWidth="1"/>
    <col min="28" max="28" width="21.109375" customWidth="1"/>
  </cols>
  <sheetData>
    <row r="1" spans="1:27" x14ac:dyDescent="0.3">
      <c r="B1" s="29"/>
      <c r="C1" s="29"/>
      <c r="E1" s="13"/>
      <c r="F1" s="19"/>
      <c r="G1" s="19"/>
      <c r="H1" s="19"/>
      <c r="I1" s="1"/>
      <c r="J1" s="1"/>
      <c r="K1"/>
      <c r="P1"/>
      <c r="Q1"/>
      <c r="R1"/>
      <c r="T1"/>
      <c r="U1"/>
      <c r="V1"/>
      <c r="W1"/>
      <c r="X1"/>
      <c r="AA1"/>
    </row>
    <row r="2" spans="1:27" x14ac:dyDescent="0.3">
      <c r="B2" s="29"/>
      <c r="C2" s="29"/>
      <c r="E2" s="13"/>
      <c r="F2" s="19"/>
      <c r="G2" s="19"/>
      <c r="H2" s="19"/>
      <c r="I2" s="1"/>
      <c r="J2" s="1"/>
      <c r="K2"/>
      <c r="P2"/>
      <c r="Q2"/>
      <c r="R2"/>
      <c r="T2"/>
      <c r="U2"/>
      <c r="V2"/>
      <c r="W2"/>
      <c r="X2"/>
      <c r="AA2"/>
    </row>
    <row r="3" spans="1:27" x14ac:dyDescent="0.3">
      <c r="B3" s="29"/>
      <c r="C3" s="29"/>
      <c r="E3" s="13"/>
      <c r="F3" s="19"/>
      <c r="G3" s="19"/>
      <c r="H3" s="19"/>
      <c r="I3" s="1"/>
      <c r="J3" s="1"/>
      <c r="K3"/>
      <c r="P3"/>
      <c r="Q3"/>
      <c r="R3"/>
      <c r="T3"/>
      <c r="U3"/>
      <c r="V3"/>
      <c r="W3"/>
      <c r="X3"/>
      <c r="AA3"/>
    </row>
    <row r="4" spans="1:27" x14ac:dyDescent="0.3">
      <c r="B4" s="29"/>
      <c r="C4" s="29"/>
      <c r="E4" s="13"/>
      <c r="F4" s="19"/>
      <c r="G4" s="19"/>
      <c r="H4" s="19"/>
      <c r="I4" s="1"/>
      <c r="J4" s="1"/>
      <c r="K4"/>
      <c r="P4"/>
      <c r="Q4"/>
      <c r="R4"/>
      <c r="T4"/>
      <c r="U4"/>
      <c r="V4"/>
      <c r="W4"/>
      <c r="X4"/>
      <c r="AA4"/>
    </row>
    <row r="5" spans="1:27" x14ac:dyDescent="0.3">
      <c r="B5" s="29"/>
      <c r="C5" s="29"/>
      <c r="E5" s="13"/>
      <c r="F5" s="19"/>
      <c r="G5" s="19"/>
      <c r="H5" s="19"/>
      <c r="I5" s="1"/>
      <c r="J5" s="1"/>
      <c r="K5"/>
      <c r="P5"/>
      <c r="Q5"/>
      <c r="R5"/>
      <c r="T5"/>
      <c r="U5"/>
      <c r="V5"/>
      <c r="W5"/>
      <c r="X5"/>
      <c r="AA5"/>
    </row>
    <row r="6" spans="1:27" ht="34.200000000000003" customHeight="1" x14ac:dyDescent="0.3">
      <c r="B6" s="29"/>
      <c r="C6" s="29"/>
      <c r="D6" s="30"/>
      <c r="E6" s="30"/>
      <c r="F6" s="19"/>
      <c r="G6" s="19"/>
      <c r="H6" s="19"/>
      <c r="I6" s="1"/>
      <c r="J6" s="1"/>
      <c r="K6"/>
      <c r="P6"/>
      <c r="Q6"/>
      <c r="R6"/>
      <c r="T6"/>
      <c r="U6"/>
      <c r="V6"/>
      <c r="W6"/>
      <c r="X6"/>
      <c r="AA6"/>
    </row>
    <row r="7" spans="1:27" ht="43.95" customHeight="1" x14ac:dyDescent="0.3">
      <c r="A7" s="5" t="s">
        <v>0</v>
      </c>
      <c r="B7" s="6" t="s">
        <v>81</v>
      </c>
      <c r="C7" s="6" t="s">
        <v>82</v>
      </c>
      <c r="D7" s="10" t="s">
        <v>33</v>
      </c>
      <c r="E7" s="15" t="s">
        <v>104</v>
      </c>
      <c r="F7" s="26" t="s">
        <v>76</v>
      </c>
      <c r="G7" s="16" t="s">
        <v>29</v>
      </c>
      <c r="H7" s="16" t="s">
        <v>30</v>
      </c>
      <c r="I7" s="20" t="s">
        <v>79</v>
      </c>
      <c r="J7" s="20" t="s">
        <v>60</v>
      </c>
      <c r="K7" s="6" t="s">
        <v>45</v>
      </c>
      <c r="L7" s="6" t="s">
        <v>77</v>
      </c>
      <c r="M7" s="34" t="s">
        <v>80</v>
      </c>
      <c r="P7"/>
      <c r="Q7"/>
      <c r="R7"/>
      <c r="T7"/>
      <c r="U7"/>
      <c r="V7"/>
      <c r="W7"/>
      <c r="X7"/>
      <c r="AA7"/>
    </row>
    <row r="8" spans="1:27" x14ac:dyDescent="0.3">
      <c r="A8" s="7" t="s">
        <v>8</v>
      </c>
      <c r="B8" s="8" t="s">
        <v>40</v>
      </c>
      <c r="C8" s="8" t="s">
        <v>206</v>
      </c>
      <c r="D8" s="12">
        <v>3299.9589999999998</v>
      </c>
      <c r="E8" s="12">
        <v>3299.9589999999998</v>
      </c>
      <c r="F8" s="18">
        <v>46020.729166666664</v>
      </c>
      <c r="G8" s="18">
        <v>46029.673611111109</v>
      </c>
      <c r="H8" s="18">
        <v>46029.930555555555</v>
      </c>
      <c r="I8" s="22">
        <v>46018</v>
      </c>
      <c r="J8" s="22" t="s">
        <v>27</v>
      </c>
      <c r="K8" s="9" t="s">
        <v>46</v>
      </c>
      <c r="L8" s="9" t="str">
        <f>CONCATENATE(Таблица16[[#This Row],[ТХ ]],"/",Таблица16[[#This Row],[Дата  составления  B\L речник]])</f>
        <v>т/х Дон Стар 8 ИМО 8884957/46018</v>
      </c>
      <c r="M8" s="21">
        <v>46029</v>
      </c>
      <c r="N8" s="13"/>
      <c r="O8" s="13"/>
      <c r="P8" s="13"/>
      <c r="Q8" s="13"/>
      <c r="R8"/>
      <c r="T8" s="27"/>
      <c r="U8"/>
      <c r="V8"/>
      <c r="W8"/>
      <c r="X8"/>
      <c r="AA8"/>
    </row>
    <row r="9" spans="1:27" x14ac:dyDescent="0.3">
      <c r="A9" s="7" t="s">
        <v>23</v>
      </c>
      <c r="B9" s="8" t="s">
        <v>40</v>
      </c>
      <c r="C9" s="8" t="s">
        <v>206</v>
      </c>
      <c r="D9" s="12">
        <v>4756.8789999999999</v>
      </c>
      <c r="E9" s="12">
        <v>4756.8789999999999</v>
      </c>
      <c r="F9" s="18">
        <v>46020.885416666664</v>
      </c>
      <c r="G9" s="18">
        <v>46036.701388888891</v>
      </c>
      <c r="H9" s="18">
        <v>46036.989583333336</v>
      </c>
      <c r="I9" s="22">
        <v>46019</v>
      </c>
      <c r="J9" s="22" t="s">
        <v>26</v>
      </c>
      <c r="K9" s="9" t="s">
        <v>46</v>
      </c>
      <c r="L9" s="9" t="str">
        <f>CONCATENATE(Таблица16[[#This Row],[ТХ ]],"/",Таблица16[[#This Row],[Дата  составления  B\L речник]])</f>
        <v>Волго-Дон 5079 ИМО 8852784/46019</v>
      </c>
      <c r="M9" s="21">
        <v>46036</v>
      </c>
      <c r="N9" s="13"/>
      <c r="O9" s="13"/>
      <c r="P9" s="13"/>
      <c r="Q9" s="13"/>
      <c r="R9"/>
      <c r="T9" s="27"/>
      <c r="U9"/>
      <c r="V9"/>
      <c r="W9"/>
      <c r="X9"/>
      <c r="AA9"/>
    </row>
    <row r="10" spans="1:27" x14ac:dyDescent="0.3">
      <c r="A10" s="7" t="s">
        <v>2</v>
      </c>
      <c r="B10" s="8" t="s">
        <v>40</v>
      </c>
      <c r="C10" s="8" t="s">
        <v>206</v>
      </c>
      <c r="D10" s="12">
        <v>3900</v>
      </c>
      <c r="E10" s="12">
        <v>3900</v>
      </c>
      <c r="F10" s="18">
        <v>46021.875</v>
      </c>
      <c r="G10" s="18">
        <v>46029.836805555555</v>
      </c>
      <c r="H10" s="18">
        <v>46030.204861111109</v>
      </c>
      <c r="I10" s="22">
        <v>46020</v>
      </c>
      <c r="J10" s="22" t="s">
        <v>26</v>
      </c>
      <c r="K10" s="9" t="s">
        <v>46</v>
      </c>
      <c r="L10" s="9" t="str">
        <f>CONCATENATE(Таблица16[[#This Row],[ТХ ]],"/",Таблица16[[#This Row],[Дата  составления  B\L речник]])</f>
        <v>т/х Дон Стар 2 ИМО 7911480/46020</v>
      </c>
      <c r="M10" s="21">
        <v>46024</v>
      </c>
      <c r="N10" s="13"/>
      <c r="O10" s="13"/>
      <c r="P10" s="13"/>
      <c r="Q10" s="13"/>
      <c r="R10"/>
      <c r="T10" s="27"/>
      <c r="U10"/>
      <c r="V10"/>
      <c r="W10"/>
      <c r="X10"/>
      <c r="AA10"/>
    </row>
    <row r="11" spans="1:27" x14ac:dyDescent="0.3">
      <c r="A11" s="7" t="s">
        <v>5</v>
      </c>
      <c r="B11" s="8" t="s">
        <v>40</v>
      </c>
      <c r="C11" s="8" t="s">
        <v>206</v>
      </c>
      <c r="D11" s="12">
        <v>3300.549</v>
      </c>
      <c r="E11" s="12">
        <v>3300.549</v>
      </c>
      <c r="F11" s="18">
        <v>46023.625</v>
      </c>
      <c r="G11" s="18">
        <v>46029.642361111109</v>
      </c>
      <c r="H11" s="18">
        <v>46029.944444444445</v>
      </c>
      <c r="I11" s="22">
        <v>46022</v>
      </c>
      <c r="J11" s="22" t="s">
        <v>26</v>
      </c>
      <c r="K11" s="9" t="s">
        <v>46</v>
      </c>
      <c r="L11" s="9" t="str">
        <f>CONCATENATE(Таблица16[[#This Row],[ТХ ]],"/",Таблица16[[#This Row],[Дата  составления  B\L речник]])</f>
        <v>т/х Дон Стар 5 ИМО 8955469/46022</v>
      </c>
      <c r="M11" s="21">
        <v>46029</v>
      </c>
      <c r="N11" s="13"/>
      <c r="O11" s="13"/>
      <c r="P11" s="13"/>
      <c r="Q11" s="13"/>
      <c r="R11"/>
      <c r="T11" s="27"/>
      <c r="U11"/>
      <c r="V11"/>
      <c r="W11"/>
      <c r="X11"/>
      <c r="AA11"/>
    </row>
    <row r="12" spans="1:27" x14ac:dyDescent="0.3">
      <c r="A12" s="7" t="s">
        <v>6</v>
      </c>
      <c r="B12" s="8" t="s">
        <v>40</v>
      </c>
      <c r="C12" s="8" t="s">
        <v>206</v>
      </c>
      <c r="D12" s="12">
        <v>3251.2559999999999</v>
      </c>
      <c r="E12" s="12">
        <v>3251.2559999999999</v>
      </c>
      <c r="F12" s="18">
        <v>46027.822916666664</v>
      </c>
      <c r="G12" s="18">
        <v>46029.715277777781</v>
      </c>
      <c r="H12" s="18">
        <v>46030.104166666664</v>
      </c>
      <c r="I12" s="22">
        <v>46025</v>
      </c>
      <c r="J12" s="22" t="s">
        <v>27</v>
      </c>
      <c r="K12" s="9" t="s">
        <v>46</v>
      </c>
      <c r="L12" s="9" t="str">
        <f>CONCATENATE(Таблица16[[#This Row],[ТХ ]],"/",Таблица16[[#This Row],[Дата  составления  B\L речник]])</f>
        <v>т/х Дон Стар 6 ИМО 8951396/46025</v>
      </c>
      <c r="M12" s="21">
        <v>46029</v>
      </c>
      <c r="N12" s="13"/>
      <c r="O12" s="13"/>
      <c r="P12" s="13"/>
      <c r="Q12" s="13"/>
      <c r="R12"/>
      <c r="T12" s="27"/>
      <c r="U12"/>
      <c r="V12"/>
      <c r="W12"/>
      <c r="X12"/>
      <c r="AA12"/>
    </row>
    <row r="13" spans="1:27" x14ac:dyDescent="0.3">
      <c r="A13" s="7" t="s">
        <v>7</v>
      </c>
      <c r="B13" s="8" t="s">
        <v>40</v>
      </c>
      <c r="C13" s="8" t="s">
        <v>206</v>
      </c>
      <c r="D13" s="12">
        <v>3209.933</v>
      </c>
      <c r="E13" s="12">
        <v>3209.933</v>
      </c>
      <c r="F13" s="18">
        <v>46018.895833333336</v>
      </c>
      <c r="G13" s="18">
        <v>46028.416666666664</v>
      </c>
      <c r="H13" s="18">
        <v>46029.673611111109</v>
      </c>
      <c r="I13" s="22">
        <v>46017</v>
      </c>
      <c r="J13" s="22" t="s">
        <v>26</v>
      </c>
      <c r="K13" s="9" t="s">
        <v>46</v>
      </c>
      <c r="L13" s="9" t="str">
        <f>CONCATENATE(Таблица16[[#This Row],[ТХ ]],"/",Таблица16[[#This Row],[Дата  составления  B\L речник]])</f>
        <v>т/х Дон Стар 7 ИМО 8844153/46017</v>
      </c>
      <c r="M13" s="21">
        <v>46028</v>
      </c>
      <c r="N13" s="13"/>
      <c r="O13" s="13"/>
      <c r="P13" s="13"/>
      <c r="Q13" s="13"/>
      <c r="R13"/>
      <c r="T13" s="27"/>
      <c r="U13"/>
      <c r="V13"/>
      <c r="W13"/>
      <c r="X13"/>
      <c r="AA13"/>
    </row>
    <row r="14" spans="1:27" x14ac:dyDescent="0.3">
      <c r="A14" s="7" t="s">
        <v>63</v>
      </c>
      <c r="B14" s="8" t="s">
        <v>40</v>
      </c>
      <c r="C14" s="8" t="s">
        <v>206</v>
      </c>
      <c r="D14" s="12">
        <v>4159.9269999999997</v>
      </c>
      <c r="E14" s="12">
        <v>4159.9269999999997</v>
      </c>
      <c r="F14" s="18">
        <v>46034.708333333336</v>
      </c>
      <c r="G14" s="18">
        <v>46037.25</v>
      </c>
      <c r="H14" s="18">
        <v>46037.979166666664</v>
      </c>
      <c r="I14" s="22">
        <v>46030</v>
      </c>
      <c r="J14" s="22" t="s">
        <v>26</v>
      </c>
      <c r="K14" s="9" t="s">
        <v>46</v>
      </c>
      <c r="L14" s="9" t="str">
        <f>CONCATENATE(Таблица16[[#This Row],[ТХ ]],"/",Таблица16[[#This Row],[Дата  составления  B\L речник]])</f>
        <v>т/х В.Успенский   ИМО 8946389/46030</v>
      </c>
      <c r="M14" s="21">
        <v>46036</v>
      </c>
      <c r="N14" s="13"/>
      <c r="O14" s="13"/>
      <c r="P14" s="13"/>
      <c r="Q14" s="13"/>
      <c r="R14"/>
      <c r="T14" s="27"/>
      <c r="U14"/>
      <c r="V14"/>
      <c r="W14"/>
      <c r="X14"/>
      <c r="AA14"/>
    </row>
    <row r="15" spans="1:27" x14ac:dyDescent="0.3">
      <c r="A15" s="7" t="s">
        <v>64</v>
      </c>
      <c r="B15" s="8" t="s">
        <v>40</v>
      </c>
      <c r="C15" s="8" t="s">
        <v>206</v>
      </c>
      <c r="D15" s="12">
        <v>4196.6220000000003</v>
      </c>
      <c r="E15" s="12">
        <v>4196.6220000000003</v>
      </c>
      <c r="F15" s="18">
        <v>46028.822916666664</v>
      </c>
      <c r="G15" s="18">
        <v>46035.71875</v>
      </c>
      <c r="H15" s="18">
        <v>46035.96875</v>
      </c>
      <c r="I15" s="22">
        <v>46021</v>
      </c>
      <c r="J15" s="22" t="s">
        <v>26</v>
      </c>
      <c r="K15" s="9" t="s">
        <v>46</v>
      </c>
      <c r="L15" s="31" t="str">
        <f>CONCATENATE(Таблица16[[#This Row],[ТХ ]],"/",Таблица16[[#This Row],[Дата  составления  B\L речник]])</f>
        <v>т/х Волго-Дон 217 ИМО 8946377/46021</v>
      </c>
      <c r="M15" s="22">
        <v>46036</v>
      </c>
    </row>
    <row r="16" spans="1:27" x14ac:dyDescent="0.3">
      <c r="A16" s="7" t="s">
        <v>4</v>
      </c>
      <c r="B16" s="8" t="s">
        <v>40</v>
      </c>
      <c r="C16" s="8" t="s">
        <v>206</v>
      </c>
      <c r="D16" s="12">
        <v>4012.3980000000001</v>
      </c>
      <c r="E16" s="12">
        <v>4012.3980000000001</v>
      </c>
      <c r="F16" s="18">
        <v>46012.666666666664</v>
      </c>
      <c r="G16" s="18">
        <v>46023.416666666664</v>
      </c>
      <c r="H16" s="18">
        <v>46023.625</v>
      </c>
      <c r="I16" s="22">
        <v>46009</v>
      </c>
      <c r="J16" s="22" t="s">
        <v>27</v>
      </c>
      <c r="K16" s="9" t="s">
        <v>46</v>
      </c>
      <c r="L16" s="31" t="str">
        <f>CONCATENATE(Таблица16[[#This Row],[ТХ ]],"/",Таблица16[[#This Row],[Дата  составления  B\L речник]])</f>
        <v>т/х Дон Стар 4 ИМО 7911478/46009</v>
      </c>
      <c r="M16" s="22">
        <v>46106</v>
      </c>
    </row>
    <row r="17" spans="1:13" x14ac:dyDescent="0.3">
      <c r="A17" s="7" t="s">
        <v>1</v>
      </c>
      <c r="B17" s="8" t="s">
        <v>40</v>
      </c>
      <c r="C17" s="8" t="s">
        <v>206</v>
      </c>
      <c r="D17" s="12">
        <v>3300.29</v>
      </c>
      <c r="E17" s="106">
        <v>3300.29</v>
      </c>
      <c r="F17" s="18">
        <v>46013.659722222219</v>
      </c>
      <c r="G17" s="18">
        <v>46028.385416666664</v>
      </c>
      <c r="H17" s="18">
        <v>46028.708333333336</v>
      </c>
      <c r="I17" s="22">
        <v>46013</v>
      </c>
      <c r="J17" s="22" t="s">
        <v>27</v>
      </c>
      <c r="K17" s="9" t="s">
        <v>46</v>
      </c>
      <c r="L17" s="31" t="str">
        <f>CONCATENATE(Таблица16[[#This Row],[ТХ ]],"/",Таблица16[[#This Row],[Дата  составления  B\L речник]])</f>
        <v>т/х Дон Стар 1 ИМО 8866735/46013</v>
      </c>
      <c r="M17" s="22">
        <v>46106</v>
      </c>
    </row>
    <row r="18" spans="1:13" x14ac:dyDescent="0.3">
      <c r="A18" s="7" t="s">
        <v>4</v>
      </c>
      <c r="B18" s="8" t="s">
        <v>40</v>
      </c>
      <c r="C18" s="8" t="s">
        <v>206</v>
      </c>
      <c r="D18" s="12">
        <v>4055.2460000000001</v>
      </c>
      <c r="E18" s="12">
        <v>3398.27</v>
      </c>
      <c r="F18" s="18">
        <v>46037.993055555555</v>
      </c>
      <c r="G18" s="18">
        <v>46043.079861111109</v>
      </c>
      <c r="H18" s="18">
        <v>46043.079861111109</v>
      </c>
      <c r="I18" s="22">
        <v>46035</v>
      </c>
      <c r="J18" s="22" t="s">
        <v>26</v>
      </c>
      <c r="K18" s="9" t="s">
        <v>46</v>
      </c>
      <c r="L18" s="31" t="str">
        <f>CONCATENATE(Таблица16[[#This Row],[ТХ ]],"/",Таблица16[[#This Row],[Дата  составления  B\L речник]])</f>
        <v>т/х Дон Стар 4 ИМО 7911478/46035</v>
      </c>
      <c r="M18" s="22">
        <v>46043</v>
      </c>
    </row>
    <row r="19" spans="1:13" x14ac:dyDescent="0.3">
      <c r="A19" s="7" t="s">
        <v>4</v>
      </c>
      <c r="B19" s="8" t="s">
        <v>40</v>
      </c>
      <c r="C19" s="8" t="s">
        <v>206</v>
      </c>
      <c r="D19" s="12">
        <v>4055.2460000000001</v>
      </c>
      <c r="E19" s="12">
        <v>656.976</v>
      </c>
      <c r="F19" s="18">
        <v>46037.993055555555</v>
      </c>
      <c r="G19" s="18">
        <v>46042.756944444445</v>
      </c>
      <c r="H19" s="18">
        <v>46042.809027777781</v>
      </c>
      <c r="I19" s="22">
        <v>46035</v>
      </c>
      <c r="J19" s="22" t="s">
        <v>27</v>
      </c>
      <c r="K19" s="9" t="s">
        <v>46</v>
      </c>
      <c r="L19" s="31" t="str">
        <f>CONCATENATE(Таблица16[[#This Row],[ТХ ]],"/",Таблица16[[#This Row],[Дата  составления  B\L речник]])</f>
        <v>т/х Дон Стар 4 ИМО 7911478/46035</v>
      </c>
      <c r="M19" s="22">
        <v>46043</v>
      </c>
    </row>
    <row r="20" spans="1:13" x14ac:dyDescent="0.3">
      <c r="A20" s="7" t="s">
        <v>2</v>
      </c>
      <c r="B20" s="8" t="s">
        <v>138</v>
      </c>
      <c r="C20" s="8" t="s">
        <v>206</v>
      </c>
      <c r="D20" s="12">
        <v>4011.3440000000001</v>
      </c>
      <c r="E20" s="12">
        <v>4011.3440000000001</v>
      </c>
      <c r="F20" s="18">
        <v>46038.0625</v>
      </c>
      <c r="G20" s="18">
        <v>46042.743055555555</v>
      </c>
      <c r="H20" s="18">
        <v>46042.975694444445</v>
      </c>
      <c r="I20" s="22">
        <v>46035</v>
      </c>
      <c r="J20" s="22" t="s">
        <v>26</v>
      </c>
      <c r="K20" s="9" t="s">
        <v>46</v>
      </c>
      <c r="L20" s="31" t="str">
        <f>CONCATENATE(Таблица16[[#This Row],[ТХ ]],"/",Таблица16[[#This Row],[Дата  составления  B\L речник]])</f>
        <v>т/х Дон Стар 2 ИМО 7911480/46035</v>
      </c>
      <c r="M20" s="22">
        <v>46043</v>
      </c>
    </row>
    <row r="21" spans="1:13" x14ac:dyDescent="0.3">
      <c r="A21" s="7" t="s">
        <v>6</v>
      </c>
      <c r="B21" s="8" t="s">
        <v>138</v>
      </c>
      <c r="C21" s="8" t="s">
        <v>206</v>
      </c>
      <c r="D21" s="12">
        <v>3080.8</v>
      </c>
      <c r="E21" s="12">
        <v>3080.8</v>
      </c>
      <c r="F21" s="18">
        <v>46055.833333333336</v>
      </c>
      <c r="G21" s="18">
        <v>46060.75</v>
      </c>
      <c r="H21" s="18">
        <v>46061.104166666664</v>
      </c>
      <c r="I21" s="22">
        <v>46038</v>
      </c>
      <c r="J21" s="22" t="s">
        <v>26</v>
      </c>
      <c r="K21" s="9" t="s">
        <v>46</v>
      </c>
      <c r="L21" s="31" t="str">
        <f>CONCATENATE(Таблица16[[#This Row],[ТХ ]],"/",Таблица16[[#This Row],[Дата  составления  B\L речник]])</f>
        <v>т/х Дон Стар 6 ИМО 8951396/46038</v>
      </c>
      <c r="M21" s="22">
        <v>46061</v>
      </c>
    </row>
    <row r="22" spans="1:13" x14ac:dyDescent="0.3">
      <c r="A22" s="7" t="s">
        <v>1</v>
      </c>
      <c r="B22" s="8" t="s">
        <v>40</v>
      </c>
      <c r="C22" s="8" t="s">
        <v>206</v>
      </c>
      <c r="D22" s="12">
        <v>3103.1849999999999</v>
      </c>
      <c r="E22" s="12">
        <v>3103.1849999999999</v>
      </c>
      <c r="F22" s="18">
        <v>46044.5</v>
      </c>
      <c r="G22" s="18">
        <v>46045.722222222219</v>
      </c>
      <c r="H22" s="18">
        <v>46046.25</v>
      </c>
      <c r="I22" s="22">
        <v>46039</v>
      </c>
      <c r="J22" s="22" t="s">
        <v>26</v>
      </c>
      <c r="K22" s="9" t="s">
        <v>46</v>
      </c>
      <c r="L22" s="31" t="str">
        <f>CONCATENATE(Таблица16[[#This Row],[ТХ ]],"/",Таблица16[[#This Row],[Дата  составления  B\L речник]])</f>
        <v>т/х Дон Стар 1 ИМО 8866735/46039</v>
      </c>
      <c r="M22" s="22">
        <v>46048</v>
      </c>
    </row>
    <row r="23" spans="1:13" x14ac:dyDescent="0.3">
      <c r="A23" s="49" t="s">
        <v>2</v>
      </c>
      <c r="B23" s="8" t="s">
        <v>40</v>
      </c>
      <c r="C23" s="8" t="s">
        <v>206</v>
      </c>
      <c r="D23" s="12">
        <v>4001.7570000000001</v>
      </c>
      <c r="E23" s="12">
        <v>4001.7570000000001</v>
      </c>
      <c r="F23" s="18">
        <v>46056.041666666664</v>
      </c>
      <c r="G23" s="18">
        <v>46057.739583333336</v>
      </c>
      <c r="H23" s="18">
        <v>46058.138888888891</v>
      </c>
      <c r="I23" s="22">
        <v>46049</v>
      </c>
      <c r="J23" s="48" t="s">
        <v>26</v>
      </c>
      <c r="K23" s="9" t="s">
        <v>46</v>
      </c>
      <c r="L23" s="31" t="str">
        <f>CONCATENATE(Таблица16[[#This Row],[ТХ ]],"/",Таблица16[[#This Row],[Дата  составления  B\L речник]])</f>
        <v>т/х Дон Стар 2 ИМО 7911480/46049</v>
      </c>
      <c r="M23" s="22">
        <v>46058</v>
      </c>
    </row>
    <row r="24" spans="1:13" x14ac:dyDescent="0.3">
      <c r="A24" s="49" t="s">
        <v>5</v>
      </c>
      <c r="B24" s="8" t="s">
        <v>138</v>
      </c>
      <c r="C24" s="8" t="s">
        <v>206</v>
      </c>
      <c r="D24" s="12">
        <v>3008.0459999999998</v>
      </c>
      <c r="E24" s="12">
        <v>3008.0459999999998</v>
      </c>
      <c r="F24" s="18">
        <v>46055.916666666664</v>
      </c>
      <c r="G24" s="18">
        <v>46058.25</v>
      </c>
      <c r="H24" s="18">
        <v>46058.614583333336</v>
      </c>
      <c r="I24" s="22">
        <v>46049</v>
      </c>
      <c r="J24" s="48" t="s">
        <v>26</v>
      </c>
      <c r="K24" s="9" t="s">
        <v>46</v>
      </c>
      <c r="L24" s="31" t="str">
        <f>CONCATENATE(Таблица16[[#This Row],[ТХ ]],"/",Таблица16[[#This Row],[Дата  составления  B\L речник]])</f>
        <v>т/х Дон Стар 5 ИМО 8955469/46049</v>
      </c>
      <c r="M24" s="22">
        <v>46058</v>
      </c>
    </row>
    <row r="25" spans="1:13" x14ac:dyDescent="0.3">
      <c r="A25" s="49" t="s">
        <v>63</v>
      </c>
      <c r="B25" s="8" t="s">
        <v>138</v>
      </c>
      <c r="C25" s="8" t="s">
        <v>206</v>
      </c>
      <c r="D25" s="12">
        <f>INDEX(ТаблПогруз!G:G,MATCH(Таблица16[[#This Row],[Id key]],ТаблПогруз!Q:Q,0))</f>
        <v>4300.5600000000004</v>
      </c>
      <c r="E25" s="12">
        <v>4300.5600000000004</v>
      </c>
      <c r="F25" s="18">
        <v>46076.229166666664</v>
      </c>
      <c r="G25" s="18">
        <v>46079.444444444445</v>
      </c>
      <c r="H25" s="18">
        <v>46079.701388888891</v>
      </c>
      <c r="I25" s="22">
        <v>46054</v>
      </c>
      <c r="J25" s="48" t="s">
        <v>26</v>
      </c>
      <c r="K25" s="9" t="s">
        <v>46</v>
      </c>
      <c r="L25" s="31" t="str">
        <f>CONCATENATE(Таблица16[[#This Row],[ТХ ]],"/",Таблица16[[#This Row],[Дата  составления  B\L речник]])</f>
        <v>т/х В.Успенский   ИМО 8946389/46054</v>
      </c>
      <c r="M25" s="22">
        <v>46078</v>
      </c>
    </row>
    <row r="26" spans="1:13" x14ac:dyDescent="0.3">
      <c r="A26" s="76" t="s">
        <v>2</v>
      </c>
      <c r="B26" s="8" t="s">
        <v>138</v>
      </c>
      <c r="C26" s="8" t="s">
        <v>206</v>
      </c>
      <c r="D26" s="12">
        <f>INDEX(ТаблПогруз!G:G,MATCH(Таблица16[[#This Row],[Id key]],ТаблПогруз!Q:Q,0))</f>
        <v>4034.2849999999999</v>
      </c>
      <c r="E26" s="11">
        <v>4034.2849999999999</v>
      </c>
      <c r="F26" s="17">
        <v>46071.833333333336</v>
      </c>
      <c r="G26" s="17">
        <v>46075.729166666664</v>
      </c>
      <c r="H26" s="17">
        <v>46076.270833333336</v>
      </c>
      <c r="I26" s="22">
        <v>46069</v>
      </c>
      <c r="J26" s="78" t="s">
        <v>26</v>
      </c>
      <c r="K26" s="9" t="s">
        <v>46</v>
      </c>
      <c r="L26" s="77" t="str">
        <f>CONCATENATE(Таблица16[[#This Row],[ТХ ]],"/",Таблица16[[#This Row],[Дата  составления  B\L речник]])</f>
        <v>т/х Дон Стар 2 ИМО 7911480/46069</v>
      </c>
      <c r="M26" s="22">
        <v>46073</v>
      </c>
    </row>
    <row r="27" spans="1:13" x14ac:dyDescent="0.3">
      <c r="A27" s="76" t="s">
        <v>5</v>
      </c>
      <c r="B27" s="8" t="s">
        <v>138</v>
      </c>
      <c r="C27" s="8" t="s">
        <v>206</v>
      </c>
      <c r="D27" s="12">
        <f>INDEX(ТаблПогруз!G:G,MATCH(Таблица16[[#This Row],[Id key]],ТаблПогруз!Q:Q,0))</f>
        <v>3299.5250000000001</v>
      </c>
      <c r="E27" s="11">
        <v>3299.5250000000001</v>
      </c>
      <c r="F27" s="17">
        <v>46071.611111111109</v>
      </c>
      <c r="G27" s="17">
        <v>46075.743055555555</v>
      </c>
      <c r="H27" s="17">
        <v>46076.041666666664</v>
      </c>
      <c r="I27" s="22">
        <v>46067</v>
      </c>
      <c r="J27" s="78" t="s">
        <v>26</v>
      </c>
      <c r="K27" s="9" t="s">
        <v>46</v>
      </c>
      <c r="L27" s="77" t="str">
        <f>CONCATENATE(Таблица16[[#This Row],[ТХ ]],"/",Таблица16[[#This Row],[Дата  составления  B\L речник]])</f>
        <v>т/х Дон Стар 5 ИМО 8955469/46067</v>
      </c>
      <c r="M27" s="22">
        <v>46073</v>
      </c>
    </row>
    <row r="28" spans="1:13" x14ac:dyDescent="0.3">
      <c r="A28" s="49" t="s">
        <v>7</v>
      </c>
      <c r="B28" s="8" t="s">
        <v>40</v>
      </c>
      <c r="C28" s="8" t="s">
        <v>206</v>
      </c>
      <c r="D28" s="12">
        <f>INDEX(ТаблПогруз!G:G,MATCH(Таблица16[[#This Row],[Id key]],ТаблПогруз!Q:Q,0))</f>
        <v>3235.8980000000001</v>
      </c>
      <c r="E28" s="12">
        <v>3235.8980000000001</v>
      </c>
      <c r="F28" s="18"/>
      <c r="G28" s="18"/>
      <c r="H28" s="18"/>
      <c r="I28" s="22">
        <v>46077</v>
      </c>
      <c r="J28" s="48" t="s">
        <v>179</v>
      </c>
      <c r="K28" s="9" t="s">
        <v>46</v>
      </c>
      <c r="L28" s="31" t="str">
        <f>CONCATENATE(Таблица16[[#This Row],[ТХ ]],"/",Таблица16[[#This Row],[Дата  составления  B\L речник]])</f>
        <v>т/х Дон Стар 7 ИМО 8844153/46077</v>
      </c>
      <c r="M28" s="22">
        <v>46084</v>
      </c>
    </row>
    <row r="29" spans="1:13" x14ac:dyDescent="0.3">
      <c r="A29" s="76" t="s">
        <v>64</v>
      </c>
      <c r="B29" s="8" t="s">
        <v>40</v>
      </c>
      <c r="C29" s="8" t="s">
        <v>206</v>
      </c>
      <c r="D29" s="12">
        <f>INDEX(ТаблПогруз!G:G,MATCH(Таблица16[[#This Row],[Id key]],ТаблПогруз!Q:Q,0))</f>
        <v>4268.1030000000001</v>
      </c>
      <c r="E29" s="12">
        <v>4268.1030000000001</v>
      </c>
      <c r="F29" s="18"/>
      <c r="G29" s="18"/>
      <c r="H29" s="18"/>
      <c r="I29" s="22">
        <v>46080</v>
      </c>
      <c r="J29" s="48" t="s">
        <v>179</v>
      </c>
      <c r="K29" s="9" t="str">
        <f>INDEX(ТаблПогруз!M:M,MATCH(Таблица16[[#This Row],[Id key]],ТаблПогруз!Q:Q,0))</f>
        <v>ООО «Ресурс Агро Трейдинг»</v>
      </c>
      <c r="L29" s="77" t="str">
        <f>CONCATENATE(Таблица16[[#This Row],[ТХ ]],"/",Таблица16[[#This Row],[Дата  составления  B\L речник]])</f>
        <v>т/х Волго-Дон 217 ИМО 8946377/46080</v>
      </c>
      <c r="M29" s="22">
        <v>46085</v>
      </c>
    </row>
    <row r="30" spans="1:13" x14ac:dyDescent="0.3">
      <c r="A30" s="76" t="s">
        <v>2</v>
      </c>
      <c r="B30" s="8" t="s">
        <v>40</v>
      </c>
      <c r="C30" s="8" t="s">
        <v>206</v>
      </c>
      <c r="D30" s="12">
        <f>INDEX(ТаблПогруз!G:G,MATCH(Таблица16[[#This Row],[Id key]],ТаблПогруз!Q:Q,0))</f>
        <v>4001.598</v>
      </c>
      <c r="E30" s="12">
        <v>3684.5790000000002</v>
      </c>
      <c r="F30" s="18"/>
      <c r="G30" s="18"/>
      <c r="H30" s="18"/>
      <c r="I30" s="22">
        <v>46081</v>
      </c>
      <c r="J30" s="48" t="s">
        <v>179</v>
      </c>
      <c r="K30" s="9" t="str">
        <f>INDEX(ТаблПогруз!M:M,MATCH(Таблица16[[#This Row],[Id key]],ТаблПогруз!Q:Q,0))</f>
        <v>ООО «Ресурс Агро Трейдинг»</v>
      </c>
      <c r="L30" s="77" t="str">
        <f>CONCATENATE(Таблица16[[#This Row],[ТХ ]],"/",Таблица16[[#This Row],[Дата  составления  B\L речник]])</f>
        <v>т/х Дон Стар 2 ИМО 7911480/46081</v>
      </c>
      <c r="M30" s="22">
        <v>46084</v>
      </c>
    </row>
    <row r="31" spans="1:13" x14ac:dyDescent="0.3">
      <c r="A31" s="76" t="s">
        <v>2</v>
      </c>
      <c r="B31" s="8" t="s">
        <v>40</v>
      </c>
      <c r="C31" s="8" t="s">
        <v>206</v>
      </c>
      <c r="D31" s="12">
        <f>INDEX(ТаблПогруз!G:G,MATCH(Таблица16[[#This Row],[Id key]],ТаблПогруз!Q:Q,0))</f>
        <v>4001.598</v>
      </c>
      <c r="E31" s="12">
        <v>317.01900000000001</v>
      </c>
      <c r="F31" s="18"/>
      <c r="G31" s="18"/>
      <c r="H31" s="18"/>
      <c r="I31" s="22">
        <v>46081</v>
      </c>
      <c r="J31" s="48" t="s">
        <v>27</v>
      </c>
      <c r="K31" s="9" t="str">
        <f>INDEX(ТаблПогруз!M:M,MATCH(Таблица16[[#This Row],[Id key]],ТаблПогруз!Q:Q,0))</f>
        <v>ООО «Ресурс Агро Трейдинг»</v>
      </c>
      <c r="L31" s="77" t="str">
        <f>CONCATENATE(Таблица16[[#This Row],[ТХ ]],"/",Таблица16[[#This Row],[Дата  составления  B\L речник]])</f>
        <v>т/х Дон Стар 2 ИМО 7911480/46081</v>
      </c>
      <c r="M31" s="22">
        <v>46106</v>
      </c>
    </row>
    <row r="32" spans="1:13" x14ac:dyDescent="0.3">
      <c r="A32" s="76" t="s">
        <v>176</v>
      </c>
      <c r="B32" s="8" t="s">
        <v>40</v>
      </c>
      <c r="C32" s="8" t="s">
        <v>206</v>
      </c>
      <c r="D32" s="12">
        <f>INDEX(ТаблПогруз!G:G,MATCH(Таблица16[[#This Row],[Id key]],ТаблПогруз!Q:Q,0))</f>
        <v>2800.0630000000001</v>
      </c>
      <c r="E32" s="12">
        <v>2800.0630000000001</v>
      </c>
      <c r="F32" s="18"/>
      <c r="G32" s="18"/>
      <c r="H32" s="18"/>
      <c r="I32" s="22">
        <v>46082</v>
      </c>
      <c r="J32" s="48" t="s">
        <v>179</v>
      </c>
      <c r="K32" s="9" t="str">
        <f>INDEX(ТаблПогруз!M:M,MATCH(Таблица16[[#This Row],[Id key]],ТаблПогруз!Q:Q,0))</f>
        <v>ООО «Ресурс Агро Трейдинг»</v>
      </c>
      <c r="L32" s="77" t="str">
        <f>CONCATENATE(Таблица16[[#This Row],[ТХ ]],"/",Таблица16[[#This Row],[Дата  составления  B\L речник]])</f>
        <v>т/х Дон 7111420/46082</v>
      </c>
      <c r="M32" s="22">
        <v>46085</v>
      </c>
    </row>
    <row r="33" spans="1:13" x14ac:dyDescent="0.3">
      <c r="A33" s="76" t="s">
        <v>5</v>
      </c>
      <c r="B33" s="8" t="s">
        <v>40</v>
      </c>
      <c r="C33" s="8" t="s">
        <v>206</v>
      </c>
      <c r="D33" s="12">
        <f>INDEX(ТаблПогруз!G:G,MATCH(Таблица16[[#This Row],[Id key]],ТаблПогруз!Q:Q,0))</f>
        <v>3300.1390000000001</v>
      </c>
      <c r="E33" s="105">
        <v>3300.1390000000001</v>
      </c>
      <c r="F33" s="18"/>
      <c r="G33" s="18"/>
      <c r="H33" s="18"/>
      <c r="I33" s="22">
        <v>46082</v>
      </c>
      <c r="J33" s="48" t="s">
        <v>27</v>
      </c>
      <c r="K33" s="9" t="str">
        <f>INDEX(ТаблПогруз!M:M,MATCH(Таблица16[[#This Row],[Id key]],ТаблПогруз!Q:Q,0))</f>
        <v>ООО «Ресурс Агро Трейдинг»</v>
      </c>
      <c r="L33" s="77" t="str">
        <f>CONCATENATE(Таблица16[[#This Row],[ТХ ]],"/",Таблица16[[#This Row],[Дата  составления  B\L речник]])</f>
        <v>т/х Дон Стар 5 ИМО 8955469/46082</v>
      </c>
      <c r="M33" s="22">
        <v>46085</v>
      </c>
    </row>
    <row r="34" spans="1:13" x14ac:dyDescent="0.3">
      <c r="A34" s="76" t="s">
        <v>4</v>
      </c>
      <c r="B34" s="8" t="s">
        <v>40</v>
      </c>
      <c r="C34" s="8" t="s">
        <v>206</v>
      </c>
      <c r="D34" s="12">
        <f>INDEX(ТаблПогруз!G:G,MATCH(Таблица16[[#This Row],[Id key]],ТаблПогруз!Q:Q,0))</f>
        <v>4009.127</v>
      </c>
      <c r="E34" s="105">
        <v>4009.127</v>
      </c>
      <c r="F34" s="18">
        <v>46085.166666666664</v>
      </c>
      <c r="G34" s="17">
        <v>46087.680555555555</v>
      </c>
      <c r="H34" s="18">
        <v>46087.909722222219</v>
      </c>
      <c r="I34" s="22">
        <v>46083</v>
      </c>
      <c r="J34" s="48" t="s">
        <v>27</v>
      </c>
      <c r="K34" s="9" t="str">
        <f>INDEX(ТаблПогруз!M:M,MATCH(Таблица16[[#This Row],[Id key]],ТаблПогруз!Q:Q,0))</f>
        <v>ООО «Ресурс Агро Трейдинг»</v>
      </c>
      <c r="L34" s="77" t="str">
        <f>CONCATENATE(Таблица16[[#This Row],[ТХ ]],"/",Таблица16[[#This Row],[Дата  составления  B\L речник]])</f>
        <v>т/х Дон Стар 4 ИМО 7911478/46083</v>
      </c>
      <c r="M34" s="22">
        <v>46087</v>
      </c>
    </row>
    <row r="35" spans="1:13" x14ac:dyDescent="0.3">
      <c r="A35" s="76" t="s">
        <v>173</v>
      </c>
      <c r="B35" s="8" t="s">
        <v>40</v>
      </c>
      <c r="C35" s="8" t="s">
        <v>206</v>
      </c>
      <c r="D35" s="12">
        <f>INDEX(ТаблПогруз!G:G,MATCH(Таблица16[[#This Row],[Id key]],ТаблПогруз!Q:Q,0))</f>
        <v>2879.7809999999999</v>
      </c>
      <c r="E35" s="105">
        <v>2879.7809999999999</v>
      </c>
      <c r="F35" s="18"/>
      <c r="G35" s="18"/>
      <c r="H35" s="18"/>
      <c r="I35" s="22">
        <v>46086</v>
      </c>
      <c r="J35" s="48" t="s">
        <v>27</v>
      </c>
      <c r="K35" s="9" t="str">
        <f>INDEX(ТаблПогруз!M:M,MATCH(Таблица16[[#This Row],[Id key]],ТаблПогруз!Q:Q,0))</f>
        <v>ООО «Ресурс Агро Трейдинг»</v>
      </c>
      <c r="L35" s="77" t="str">
        <f>CONCATENATE(Таблица16[[#This Row],[ТХ ]],"/",Таблица16[[#This Row],[Дата  составления  B\L речник]])</f>
        <v>т/х Астра Меридиан ИМО8721399/46086</v>
      </c>
      <c r="M35" s="22">
        <v>46106</v>
      </c>
    </row>
    <row r="36" spans="1:13" x14ac:dyDescent="0.3">
      <c r="A36" s="76" t="s">
        <v>177</v>
      </c>
      <c r="B36" s="8" t="s">
        <v>40</v>
      </c>
      <c r="C36" s="8" t="s">
        <v>206</v>
      </c>
      <c r="D36" s="12">
        <f>INDEX(ТаблПогруз!G:G,MATCH(Таблица16[[#This Row],[Id key]],ТаблПогруз!Q:Q,0))</f>
        <v>4350.0519999999997</v>
      </c>
      <c r="E36" s="105">
        <v>4350.0519999999997</v>
      </c>
      <c r="F36" s="18"/>
      <c r="G36" s="17">
        <v>46092.857638888891</v>
      </c>
      <c r="H36" s="17">
        <v>46093.090277777781</v>
      </c>
      <c r="I36" s="22">
        <v>46088</v>
      </c>
      <c r="J36" s="48" t="s">
        <v>27</v>
      </c>
      <c r="K36" s="9" t="str">
        <f>INDEX(ТаблПогруз!M:M,MATCH(Таблица16[[#This Row],[Id key]],ТаблПогруз!Q:Q,0))</f>
        <v>ООО «Ресурс Агро Трейдинг»</v>
      </c>
      <c r="L36" s="77" t="str">
        <f>CONCATENATE(Таблица16[[#This Row],[ТХ ]],"/",Таблица16[[#This Row],[Дата  составления  B\L речник]])</f>
        <v>т/х Волго-Дон 5011 ИМО8951310/46088</v>
      </c>
      <c r="M36" s="22">
        <v>46094</v>
      </c>
    </row>
    <row r="37" spans="1:13" x14ac:dyDescent="0.3">
      <c r="A37" s="76" t="s">
        <v>63</v>
      </c>
      <c r="B37" s="8" t="s">
        <v>40</v>
      </c>
      <c r="C37" s="8" t="s">
        <v>206</v>
      </c>
      <c r="D37" s="12">
        <f>INDEX(ТаблПогруз!G:G,MATCH(Таблица16[[#This Row],[Id key]],ТаблПогруз!Q:Q,0))</f>
        <v>4600.24</v>
      </c>
      <c r="E37" s="105">
        <v>4600.24</v>
      </c>
      <c r="F37" s="18"/>
      <c r="G37" s="17">
        <v>46093.076388888891</v>
      </c>
      <c r="H37" s="17">
        <v>46093.302083333336</v>
      </c>
      <c r="I37" s="22">
        <v>46088</v>
      </c>
      <c r="J37" s="48" t="s">
        <v>27</v>
      </c>
      <c r="K37" s="9" t="str">
        <f>INDEX(ТаблПогруз!M:M,MATCH(Таблица16[[#This Row],[Id key]],ТаблПогруз!Q:Q,0))</f>
        <v>ООО «Ресурс Агро Трейдинг»</v>
      </c>
      <c r="L37" s="77" t="str">
        <f>CONCATENATE(Таблица16[[#This Row],[ТХ ]],"/",Таблица16[[#This Row],[Дата  составления  B\L речник]])</f>
        <v>т/х В.Успенский   ИМО 8946389/46088</v>
      </c>
      <c r="M37" s="22">
        <v>46094</v>
      </c>
    </row>
    <row r="38" spans="1:13" x14ac:dyDescent="0.3">
      <c r="A38" s="76" t="s">
        <v>175</v>
      </c>
      <c r="B38" s="8" t="s">
        <v>40</v>
      </c>
      <c r="C38" s="8" t="s">
        <v>206</v>
      </c>
      <c r="D38" s="12">
        <f>INDEX(ТаблПогруз!G:G,MATCH(Таблица16[[#This Row],[Id key]],ТаблПогруз!Q:Q,0))</f>
        <v>3725.46</v>
      </c>
      <c r="E38" s="105">
        <v>3725.46</v>
      </c>
      <c r="F38" s="18"/>
      <c r="G38" s="17">
        <v>46092.708333333336</v>
      </c>
      <c r="H38" s="17">
        <v>46092.930555555555</v>
      </c>
      <c r="I38" s="22">
        <v>46089</v>
      </c>
      <c r="J38" s="48" t="s">
        <v>27</v>
      </c>
      <c r="K38" s="9" t="str">
        <f>INDEX(ТаблПогруз!M:M,MATCH(Таблица16[[#This Row],[Id key]],ТаблПогруз!Q:Q,0))</f>
        <v>ООО «Ресурс Агро Трейдинг»</v>
      </c>
      <c r="L38" s="77" t="str">
        <f>CONCATENATE(Таблица16[[#This Row],[ТХ ]],"/",Таблица16[[#This Row],[Дата  составления  B\L речник]])</f>
        <v>т/х Святой Спиридон ИМО9087104/46089</v>
      </c>
      <c r="M38" s="22">
        <v>46094</v>
      </c>
    </row>
    <row r="39" spans="1:13" x14ac:dyDescent="0.3">
      <c r="A39" s="76" t="s">
        <v>7</v>
      </c>
      <c r="B39" s="8" t="s">
        <v>40</v>
      </c>
      <c r="C39" s="8" t="s">
        <v>206</v>
      </c>
      <c r="D39" s="12">
        <f>INDEX(ТаблПогруз!G:G,MATCH(Таблица16[[#This Row],[Id key]],ТаблПогруз!Q:Q,0))</f>
        <v>3235.3490000000002</v>
      </c>
      <c r="E39" s="105">
        <v>3235.3490000000002</v>
      </c>
      <c r="F39" s="18"/>
      <c r="G39" s="17">
        <v>46093.690972222219</v>
      </c>
      <c r="H39" s="18">
        <v>46094.003472222219</v>
      </c>
      <c r="I39" s="22">
        <v>46090</v>
      </c>
      <c r="J39" s="48" t="s">
        <v>27</v>
      </c>
      <c r="K39" s="9" t="str">
        <f>INDEX(ТаблПогруз!M:M,MATCH(Таблица16[[#This Row],[Id key]],ТаблПогруз!Q:Q,0))</f>
        <v>ООО «Ресурс Агро Трейдинг»</v>
      </c>
      <c r="L39" s="77" t="str">
        <f>CONCATENATE(Таблица16[[#This Row],[ТХ ]],"/",Таблица16[[#This Row],[Дата  составления  B\L речник]])</f>
        <v>т/х Дон Стар 7 ИМО 8844153/46090</v>
      </c>
      <c r="M39" s="22">
        <v>46094</v>
      </c>
    </row>
    <row r="40" spans="1:13" x14ac:dyDescent="0.3">
      <c r="A40" s="76" t="s">
        <v>176</v>
      </c>
      <c r="B40" s="8" t="s">
        <v>40</v>
      </c>
      <c r="C40" s="8" t="s">
        <v>206</v>
      </c>
      <c r="D40" s="12">
        <f>INDEX(ТаблПогруз!G:G,MATCH(Таблица16[[#This Row],[Id key]],ТаблПогруз!Q:Q,0))</f>
        <v>2802.13</v>
      </c>
      <c r="E40" s="105">
        <v>2802.13</v>
      </c>
      <c r="F40" s="18"/>
      <c r="G40" s="18">
        <v>46093.84375</v>
      </c>
      <c r="H40" s="18">
        <v>46094.15625</v>
      </c>
      <c r="I40" s="22">
        <v>46090</v>
      </c>
      <c r="J40" s="48" t="s">
        <v>27</v>
      </c>
      <c r="K40" s="9" t="str">
        <f>INDEX(ТаблПогруз!M:M,MATCH(Таблица16[[#This Row],[Id key]],ТаблПогруз!Q:Q,0))</f>
        <v>ООО «Ресурс Агро Трейдинг»</v>
      </c>
      <c r="L40" s="77" t="str">
        <f>CONCATENATE(Таблица16[[#This Row],[ТХ ]],"/",Таблица16[[#This Row],[Дата  составления  B\L речник]])</f>
        <v>т/х Дон 7111420/46090</v>
      </c>
      <c r="M40" s="22">
        <v>46106</v>
      </c>
    </row>
    <row r="41" spans="1:13" x14ac:dyDescent="0.3">
      <c r="A41" s="76" t="s">
        <v>5</v>
      </c>
      <c r="B41" s="8" t="s">
        <v>40</v>
      </c>
      <c r="C41" s="8" t="s">
        <v>205</v>
      </c>
      <c r="D41" s="12">
        <f>INDEX(ТаблПогруз!G:G,MATCH(Таблица16[[#This Row],[Id key]],ТаблПогруз!Q:Q,0))</f>
        <v>3301.9459999999999</v>
      </c>
      <c r="E41" s="107">
        <v>3301.9459999999999</v>
      </c>
      <c r="F41" s="18"/>
      <c r="G41" s="18"/>
      <c r="H41" s="18"/>
      <c r="I41" s="22">
        <v>46091</v>
      </c>
      <c r="J41" s="48" t="s">
        <v>27</v>
      </c>
      <c r="K41" s="9" t="str">
        <f>INDEX(ТаблПогруз!M:M,MATCH(Таблица16[[#This Row],[Id key]],ТаблПогруз!Q:Q,0))</f>
        <v>ООО «Ресурс Агро Трейдинг»</v>
      </c>
      <c r="L41" s="77" t="str">
        <f>CONCATENATE(Таблица16[[#This Row],[ТХ ]],"/",Таблица16[[#This Row],[Дата  составления  B\L речник]])</f>
        <v>т/х Дон Стар 5 ИМО 8955469/46091</v>
      </c>
      <c r="M41" s="22">
        <v>46106</v>
      </c>
    </row>
    <row r="42" spans="1:13" x14ac:dyDescent="0.3">
      <c r="A42" s="76" t="s">
        <v>23</v>
      </c>
      <c r="B42" s="8" t="s">
        <v>40</v>
      </c>
      <c r="C42" s="8" t="s">
        <v>205</v>
      </c>
      <c r="D42" s="12">
        <f>INDEX(ТаблПогруз!G:G,MATCH(Таблица16[[#This Row],[Id key]],ТаблПогруз!Q:Q,0))</f>
        <v>4751.2169999999996</v>
      </c>
      <c r="E42" s="107">
        <v>4751.2169999999996</v>
      </c>
      <c r="F42" s="18"/>
      <c r="G42" s="18"/>
      <c r="H42" s="18"/>
      <c r="I42" s="22">
        <v>46091</v>
      </c>
      <c r="J42" s="48" t="s">
        <v>27</v>
      </c>
      <c r="K42" s="9" t="str">
        <f>INDEX(ТаблПогруз!M:M,MATCH(Таблица16[[#This Row],[Id key]],ТаблПогруз!Q:Q,0))</f>
        <v>ООО «Ресурс Агро Трейдинг»</v>
      </c>
      <c r="L42" s="77" t="str">
        <f>CONCATENATE(Таблица16[[#This Row],[ТХ ]],"/",Таблица16[[#This Row],[Дата  составления  B\L речник]])</f>
        <v>Волго-Дон 5079 ИМО 8852784/46091</v>
      </c>
      <c r="M42" s="22">
        <v>46106</v>
      </c>
    </row>
    <row r="43" spans="1:13" x14ac:dyDescent="0.3">
      <c r="A43" s="99" t="s">
        <v>2</v>
      </c>
      <c r="B43" s="8" t="s">
        <v>40</v>
      </c>
      <c r="C43" s="8" t="s">
        <v>206</v>
      </c>
      <c r="D43" s="12">
        <f>INDEX(ТаблПогруз!G:G,MATCH(Таблица16[[#This Row],[Id key]],ТаблПогруз!Q:Q,0))</f>
        <v>4019.038</v>
      </c>
      <c r="E43" s="12">
        <v>4019.0479999999998</v>
      </c>
      <c r="F43" s="17"/>
      <c r="G43" s="17">
        <v>46097.666666666664</v>
      </c>
      <c r="H43" s="17">
        <v>46097.895833333336</v>
      </c>
      <c r="I43" s="22">
        <v>46093</v>
      </c>
      <c r="J43" s="78" t="s">
        <v>26</v>
      </c>
      <c r="K43" s="9" t="str">
        <f>INDEX(ТаблПогруз!M:M,MATCH(Таблица16[[#This Row],[Id key]],ТаблПогруз!Q:Q,0))</f>
        <v>ООО «Ресурс Агро Трейдинг»</v>
      </c>
      <c r="L43" s="77" t="str">
        <f>CONCATENATE(Таблица16[[#This Row],[ТХ ]],"/",Таблица16[[#This Row],[Дата  составления  B\L речник]])</f>
        <v>т/х Дон Стар 2 ИМО 7911480/46093</v>
      </c>
      <c r="M43" s="22">
        <v>46106</v>
      </c>
    </row>
    <row r="44" spans="1:13" x14ac:dyDescent="0.3">
      <c r="A44" s="99" t="s">
        <v>4</v>
      </c>
      <c r="B44" s="8" t="s">
        <v>138</v>
      </c>
      <c r="C44" s="8" t="s">
        <v>206</v>
      </c>
      <c r="D44" s="12">
        <f>INDEX(ТаблПогруз!G:G,MATCH(Таблица16[[#This Row],[Id key]],ТаблПогруз!Q:Q,0))</f>
        <v>4015.4270000000001</v>
      </c>
      <c r="E44" s="11">
        <v>1287.9169999999999</v>
      </c>
      <c r="F44" s="17">
        <v>46094.125</v>
      </c>
      <c r="G44" s="17">
        <v>46097.875</v>
      </c>
      <c r="H44" s="17">
        <v>46098.048611111109</v>
      </c>
      <c r="I44" s="22">
        <v>46092</v>
      </c>
      <c r="J44" s="78" t="s">
        <v>26</v>
      </c>
      <c r="K44" s="9" t="str">
        <f>INDEX(ТаблПогруз!M:M,MATCH(Таблица16[[#This Row],[Id key]],ТаблПогруз!Q:Q,0))</f>
        <v>ООО «Ресурс Агро Трейдинг»</v>
      </c>
      <c r="L44" s="77" t="str">
        <f>CONCATENATE(Таблица16[[#This Row],[ТХ ]],"/",Таблица16[[#This Row],[Дата  составления  B\L речник]])</f>
        <v>т/х Дон Стар 4 ИМО 7911478/46092</v>
      </c>
      <c r="M44" s="22">
        <v>46106</v>
      </c>
    </row>
    <row r="45" spans="1:13" x14ac:dyDescent="0.3">
      <c r="A45" s="99" t="s">
        <v>4</v>
      </c>
      <c r="B45" s="8" t="s">
        <v>138</v>
      </c>
      <c r="C45" s="8" t="s">
        <v>205</v>
      </c>
      <c r="D45" s="12">
        <f>INDEX(ТаблПогруз!G:G,MATCH(Таблица16[[#This Row],[Id key]],ТаблПогруз!Q:Q,0))</f>
        <v>4015.4270000000001</v>
      </c>
      <c r="E45" s="105">
        <v>2727.51</v>
      </c>
      <c r="F45" s="18">
        <v>46094.125</v>
      </c>
      <c r="G45" s="18">
        <v>46097.875</v>
      </c>
      <c r="H45" s="18">
        <v>46098.048611111109</v>
      </c>
      <c r="I45" s="22">
        <v>46092</v>
      </c>
      <c r="J45" s="48" t="s">
        <v>27</v>
      </c>
      <c r="K45" s="9" t="str">
        <f>INDEX(ТаблПогруз!M:M,MATCH(Таблица16[[#This Row],[Id key]],ТаблПогруз!Q:Q,0))</f>
        <v>ООО «Ресурс Агро Трейдинг»</v>
      </c>
      <c r="L45" s="77" t="str">
        <f>CONCATENATE(Таблица16[[#This Row],[ТХ ]],"/",Таблица16[[#This Row],[Дата  составления  B\L речник]])</f>
        <v>т/х Дон Стар 4 ИМО 7911478/46092</v>
      </c>
      <c r="M45" s="22">
        <v>46106</v>
      </c>
    </row>
    <row r="46" spans="1:13" x14ac:dyDescent="0.3">
      <c r="A46" s="76" t="s">
        <v>191</v>
      </c>
      <c r="B46" s="8" t="s">
        <v>138</v>
      </c>
      <c r="C46" s="8" t="s">
        <v>206</v>
      </c>
      <c r="D46" s="12">
        <f>INDEX(ТаблПогруз!G:G,MATCH(Таблица16[[#This Row],[Id key]],ТаблПогруз!Q:Q,0))</f>
        <v>4610.7539999999999</v>
      </c>
      <c r="E46" s="12">
        <v>4610.7539999999999</v>
      </c>
      <c r="F46" s="18">
        <v>46098.479166666664</v>
      </c>
      <c r="G46" s="18">
        <v>46100.708333333336</v>
      </c>
      <c r="H46" s="18">
        <v>46101.114583333336</v>
      </c>
      <c r="I46" s="22">
        <v>46096</v>
      </c>
      <c r="J46" s="48" t="s">
        <v>26</v>
      </c>
      <c r="K46" s="9" t="str">
        <f>INDEX(ТаблПогруз!M:M,MATCH(Таблица16[[#This Row],[Id key]],ТаблПогруз!Q:Q,0))</f>
        <v>ООО «Ресурс Агро Трейдинг»</v>
      </c>
      <c r="L46" s="77" t="str">
        <f>CONCATENATE(Таблица16[[#This Row],[ТХ ]],"/",Таблица16[[#This Row],[Дата  составления  B\L речник]])</f>
        <v>т/х Волго-Дон 5043 ИМО8866321/46096</v>
      </c>
      <c r="M46" s="22">
        <v>46106</v>
      </c>
    </row>
    <row r="47" spans="1:13" x14ac:dyDescent="0.3">
      <c r="A47" s="76" t="s">
        <v>176</v>
      </c>
      <c r="B47" s="8" t="s">
        <v>138</v>
      </c>
      <c r="C47" s="8" t="s">
        <v>206</v>
      </c>
      <c r="D47" s="12">
        <f>INDEX(ТаблПогруз!G:G,MATCH(Таблица16[[#This Row],[Id key]],ТаблПогруз!Q:Q,0))</f>
        <v>2800.1619999999998</v>
      </c>
      <c r="E47" s="12">
        <v>2800.1619999999998</v>
      </c>
      <c r="F47" s="18"/>
      <c r="G47" s="18">
        <v>46100.652777777781</v>
      </c>
      <c r="H47" s="18">
        <v>46100.850694444445</v>
      </c>
      <c r="I47" s="22">
        <v>46096</v>
      </c>
      <c r="J47" s="48" t="s">
        <v>26</v>
      </c>
      <c r="K47" s="9" t="str">
        <f>INDEX(ТаблПогруз!M:M,MATCH(Таблица16[[#This Row],[Id key]],ТаблПогруз!Q:Q,0))</f>
        <v>ООО «Ресурс Агро Трейдинг»</v>
      </c>
      <c r="L47" s="77" t="str">
        <f>CONCATENATE(Таблица16[[#This Row],[ТХ ]],"/",Таблица16[[#This Row],[Дата  составления  B\L речник]])</f>
        <v>т/х Дон 7111420/46096</v>
      </c>
      <c r="M47" s="22">
        <v>46106</v>
      </c>
    </row>
    <row r="48" spans="1:13" x14ac:dyDescent="0.3">
      <c r="A48" s="76" t="s">
        <v>175</v>
      </c>
      <c r="B48" s="8" t="s">
        <v>138</v>
      </c>
      <c r="C48" s="8" t="s">
        <v>206</v>
      </c>
      <c r="D48" s="12">
        <f>INDEX(ТаблПогруз!G:G,MATCH(Таблица16[[#This Row],[Id key]],ТаблПогруз!Q:Q,0))</f>
        <v>3700.7159999999999</v>
      </c>
      <c r="E48" s="12">
        <v>3700.7159999999999</v>
      </c>
      <c r="F48" s="18">
        <v>46099.541666666664</v>
      </c>
      <c r="G48" s="18">
        <v>46101.604166666664</v>
      </c>
      <c r="H48" s="18">
        <v>46101.822916666664</v>
      </c>
      <c r="I48" s="22">
        <v>46098</v>
      </c>
      <c r="J48" s="48" t="s">
        <v>26</v>
      </c>
      <c r="K48" s="9" t="str">
        <f>INDEX(ТаблПогруз!M:M,MATCH(Таблица16[[#This Row],[Id key]],ТаблПогруз!Q:Q,0))</f>
        <v>ООО «Ресурс Агро Трейдинг»</v>
      </c>
      <c r="L48" s="77" t="str">
        <f>CONCATENATE(Таблица16[[#This Row],[ТХ ]],"/",Таблица16[[#This Row],[Дата  составления  B\L речник]])</f>
        <v>т/х Святой Спиридон ИМО9087104/46098</v>
      </c>
      <c r="M48" s="22">
        <v>46106</v>
      </c>
    </row>
    <row r="49" spans="1:13" x14ac:dyDescent="0.3">
      <c r="A49" s="76" t="s">
        <v>23</v>
      </c>
      <c r="B49" s="8" t="s">
        <v>138</v>
      </c>
      <c r="C49" s="8" t="s">
        <v>206</v>
      </c>
      <c r="D49" s="12">
        <f>INDEX(ТаблПогруз!G:G,MATCH(Таблица16[[#This Row],[Id key]],ТаблПогруз!Q:Q,0))</f>
        <v>4756.9629999999997</v>
      </c>
      <c r="E49" s="12">
        <v>4756.9629999999997</v>
      </c>
      <c r="F49" s="18">
        <v>46101.215277777781</v>
      </c>
      <c r="G49" s="18">
        <v>46103.697916666664</v>
      </c>
      <c r="H49" s="18">
        <v>46103.979166666664</v>
      </c>
      <c r="I49" s="22">
        <v>46099</v>
      </c>
      <c r="J49" s="48" t="s">
        <v>26</v>
      </c>
      <c r="K49" s="9" t="str">
        <f>INDEX(ТаблПогруз!M:M,MATCH(Таблица16[[#This Row],[Id key]],ТаблПогруз!Q:Q,0))</f>
        <v>ООО «Ресурс Агро Трейдинг»</v>
      </c>
      <c r="L49" s="77" t="str">
        <f>CONCATENATE(Таблица16[[#This Row],[ТХ ]],"/",Таблица16[[#This Row],[Дата  составления  B\L речник]])</f>
        <v>Волго-Дон 5079 ИМО 8852784/46099</v>
      </c>
      <c r="M49" s="22">
        <v>46106</v>
      </c>
    </row>
    <row r="50" spans="1:13" x14ac:dyDescent="0.3">
      <c r="A50" s="76" t="s">
        <v>63</v>
      </c>
      <c r="B50" s="8" t="s">
        <v>138</v>
      </c>
      <c r="C50" s="8" t="s">
        <v>206</v>
      </c>
      <c r="D50" s="12">
        <f>INDEX(ТаблПогруз!G:G,MATCH(Таблица16[[#This Row],[Id key]],ТаблПогруз!Q:Q,0))</f>
        <v>4680.1400000000003</v>
      </c>
      <c r="E50" s="12">
        <v>4680.1400000000003</v>
      </c>
      <c r="F50" s="18">
        <v>46101.833333333336</v>
      </c>
      <c r="G50" s="18">
        <v>46103.833333333336</v>
      </c>
      <c r="H50" s="18">
        <v>46104.194444444445</v>
      </c>
      <c r="I50" s="22">
        <v>46100</v>
      </c>
      <c r="J50" s="48" t="s">
        <v>26</v>
      </c>
      <c r="K50" s="9" t="str">
        <f>INDEX(ТаблПогруз!M:M,MATCH(Таблица16[[#This Row],[Id key]],ТаблПогруз!Q:Q,0))</f>
        <v>ООО «Ресурс Агро Трейдинг»</v>
      </c>
      <c r="L50" s="77" t="str">
        <f>CONCATENATE(Таблица16[[#This Row],[ТХ ]],"/",Таблица16[[#This Row],[Дата  составления  B\L речник]])</f>
        <v>т/х В.Успенский   ИМО 8946389/46100</v>
      </c>
      <c r="M50" s="22">
        <v>46106</v>
      </c>
    </row>
    <row r="51" spans="1:13" x14ac:dyDescent="0.3">
      <c r="A51" s="76" t="s">
        <v>192</v>
      </c>
      <c r="B51" s="8" t="s">
        <v>138</v>
      </c>
      <c r="C51" s="8" t="s">
        <v>206</v>
      </c>
      <c r="D51" s="12">
        <f>INDEX(ТаблПогруз!G:G,MATCH(Таблица16[[#This Row],[Id key]],ТаблПогруз!Q:Q,0))</f>
        <v>1971.59</v>
      </c>
      <c r="E51" s="12">
        <v>1971.59</v>
      </c>
      <c r="F51" s="18">
        <v>46102.479166666664</v>
      </c>
      <c r="G51" s="18">
        <v>46104.659722222219</v>
      </c>
      <c r="H51" s="18">
        <v>46106.659722222219</v>
      </c>
      <c r="I51" s="22">
        <v>46101</v>
      </c>
      <c r="J51" s="48" t="s">
        <v>26</v>
      </c>
      <c r="K51" s="9" t="str">
        <f>INDEX(ТаблПогруз!M:M,MATCH(Таблица16[[#This Row],[Id key]],ТаблПогруз!Q:Q,0))</f>
        <v>ООО «Ресурс Агро Трейдинг»</v>
      </c>
      <c r="L51" s="77" t="str">
        <f>CONCATENATE(Таблица16[[#This Row],[ТХ ]],"/",Таблица16[[#This Row],[Дата  составления  B\L речник]])</f>
        <v>т/х Абрамцево ИМО8947955/46101</v>
      </c>
      <c r="M51" s="22">
        <v>46106</v>
      </c>
    </row>
    <row r="52" spans="1:13" x14ac:dyDescent="0.3">
      <c r="A52" s="76" t="s">
        <v>5</v>
      </c>
      <c r="B52" s="8" t="s">
        <v>138</v>
      </c>
      <c r="C52" s="8" t="s">
        <v>206</v>
      </c>
      <c r="D52" s="12">
        <f>INDEX(ТаблПогруз!G:G,MATCH(Таблица16[[#This Row],[Id key]],ТаблПогруз!Q:Q,0))</f>
        <v>2803.48</v>
      </c>
      <c r="E52" s="12">
        <v>2803.48</v>
      </c>
      <c r="F52" s="18">
        <v>46104.680555555555</v>
      </c>
      <c r="G52" s="18">
        <v>46106.486111111109</v>
      </c>
      <c r="H52" s="18">
        <v>46106.770833333336</v>
      </c>
      <c r="I52" s="22">
        <v>46103</v>
      </c>
      <c r="J52" s="48" t="s">
        <v>26</v>
      </c>
      <c r="K52" s="9" t="str">
        <f>INDEX(ТаблПогруз!M:M,MATCH(Таблица16[[#This Row],[Id key]],ТаблПогруз!Q:Q,0))</f>
        <v>ООО «Ресурс Агро Трейдинг»</v>
      </c>
      <c r="L52" s="77" t="str">
        <f>CONCATENATE(Таблица16[[#This Row],[ТХ ]],"/",Таблица16[[#This Row],[Дата  составления  B\L речник]])</f>
        <v>т/х Дон Стар 5 ИМО 8955469/46103</v>
      </c>
      <c r="M52" s="22">
        <v>46107</v>
      </c>
    </row>
    <row r="53" spans="1:13" x14ac:dyDescent="0.3">
      <c r="A53" s="76" t="s">
        <v>7</v>
      </c>
      <c r="B53" s="8" t="s">
        <v>138</v>
      </c>
      <c r="C53" s="8" t="s">
        <v>206</v>
      </c>
      <c r="D53" s="12">
        <f>INDEX(ТаблПогруз!G:G,MATCH(Таблица16[[#This Row],[Id key]],ТаблПогруз!Q:Q,0))</f>
        <v>3207.54</v>
      </c>
      <c r="E53" s="12">
        <v>3207.54</v>
      </c>
      <c r="F53" s="18">
        <v>46104.979166666664</v>
      </c>
      <c r="G53" s="18">
        <v>46106.875</v>
      </c>
      <c r="H53" s="18">
        <v>46107.118055555555</v>
      </c>
      <c r="I53" s="22">
        <v>46102</v>
      </c>
      <c r="J53" s="48" t="s">
        <v>26</v>
      </c>
      <c r="K53" s="9" t="str">
        <f>INDEX(ТаблПогруз!M:M,MATCH(Таблица16[[#This Row],[Id key]],ТаблПогруз!Q:Q,0))</f>
        <v>ООО «Ресурс Агро Трейдинг»</v>
      </c>
      <c r="L53" s="77" t="str">
        <f>CONCATENATE(Таблица16[[#This Row],[ТХ ]],"/",Таблица16[[#This Row],[Дата  составления  B\L речник]])</f>
        <v>т/х Дон Стар 7 ИМО 8844153/46102</v>
      </c>
      <c r="M53" s="22">
        <v>46107</v>
      </c>
    </row>
    <row r="54" spans="1:13" x14ac:dyDescent="0.3">
      <c r="A54" s="76" t="s">
        <v>209</v>
      </c>
      <c r="B54" s="8" t="s">
        <v>138</v>
      </c>
      <c r="C54" s="8" t="s">
        <v>206</v>
      </c>
      <c r="D54" s="12">
        <f>INDEX(ТаблПогруз!G:G,MATCH(Таблица16[[#This Row],[Id key]],ТаблПогруз!Q:Q,0))</f>
        <v>5019.62</v>
      </c>
      <c r="E54" s="12">
        <v>5019.62</v>
      </c>
      <c r="F54" s="18">
        <v>46106.229166666664</v>
      </c>
      <c r="G54" s="18">
        <v>46108.006944444445</v>
      </c>
      <c r="H54" s="18">
        <v>46108.451388888891</v>
      </c>
      <c r="I54" s="22">
        <v>46104</v>
      </c>
      <c r="J54" s="48" t="s">
        <v>26</v>
      </c>
      <c r="K54" s="9" t="str">
        <f>INDEX(ТаблПогруз!M:M,MATCH(Таблица16[[#This Row],[Id key]],ТаблПогруз!Q:Q,0))</f>
        <v>ООО «Ресурс Агро Трейдинг»</v>
      </c>
      <c r="L54" s="77" t="str">
        <f>CONCATENATE(Таблица16[[#This Row],[ТХ ]],"/",Таблица16[[#This Row],[Дата  составления  B\L речник]])</f>
        <v>т/х Соммерс ИМО7111420/46104</v>
      </c>
      <c r="M54" s="22">
        <v>46108</v>
      </c>
    </row>
    <row r="55" spans="1:13" x14ac:dyDescent="0.3">
      <c r="A55" s="76" t="s">
        <v>176</v>
      </c>
      <c r="B55" s="8" t="s">
        <v>138</v>
      </c>
      <c r="C55" s="8" t="s">
        <v>206</v>
      </c>
      <c r="D55" s="12">
        <f>INDEX(ТаблПогруз!G:G,MATCH(Таблица16[[#This Row],[Id key]],ТаблПогруз!Q:Q,0))</f>
        <v>2812.44</v>
      </c>
      <c r="E55" s="12">
        <v>2812.44</v>
      </c>
      <c r="F55" s="18">
        <v>46107.145833333336</v>
      </c>
      <c r="G55" s="18">
        <v>46109.736111111109</v>
      </c>
      <c r="H55" s="18">
        <v>46110.934027777781</v>
      </c>
      <c r="I55" s="22">
        <v>46106</v>
      </c>
      <c r="J55" s="48" t="s">
        <v>26</v>
      </c>
      <c r="K55" s="9" t="str">
        <f>INDEX(ТаблПогруз!M:M,MATCH(Таблица16[[#This Row],[Id key]],ТаблПогруз!Q:Q,0))</f>
        <v>ООО «Ресурс Агро Трейдинг»</v>
      </c>
      <c r="L55" s="77" t="str">
        <f>CONCATENATE(Таблица16[[#This Row],[ТХ ]],"/",Таблица16[[#This Row],[Дата  составления  B\L речник]])</f>
        <v>т/х Дон 7111420/46106</v>
      </c>
      <c r="M55" s="22">
        <v>46111</v>
      </c>
    </row>
    <row r="56" spans="1:13" x14ac:dyDescent="0.3">
      <c r="A56" s="76" t="s">
        <v>175</v>
      </c>
      <c r="B56" s="8" t="s">
        <v>138</v>
      </c>
      <c r="C56" s="8" t="s">
        <v>206</v>
      </c>
      <c r="D56" s="12">
        <f>INDEX(ТаблПогруз!G:G,MATCH(Таблица16[[#This Row],[Id key]],ТаблПогруз!Q:Q,0))</f>
        <v>3668.1</v>
      </c>
      <c r="E56" s="12">
        <v>3668.1</v>
      </c>
      <c r="F56" s="18"/>
      <c r="G56" s="18"/>
      <c r="H56" s="18"/>
      <c r="I56" s="22">
        <v>46109</v>
      </c>
      <c r="J56" s="48" t="s">
        <v>26</v>
      </c>
      <c r="K56" s="9" t="str">
        <f>INDEX(ТаблПогруз!M:M,MATCH(Таблица16[[#This Row],[Id key]],ТаблПогруз!Q:Q,0))</f>
        <v>ООО «Ресурс Агро Трейдинг»</v>
      </c>
      <c r="L56" s="77" t="str">
        <f>CONCATENATE(Таблица16[[#This Row],[ТХ ]],"/",Таблица16[[#This Row],[Дата  составления  B\L речник]])</f>
        <v>т/х Святой Спиридон ИМО9087104/46109</v>
      </c>
      <c r="M56" s="22">
        <v>46114</v>
      </c>
    </row>
    <row r="57" spans="1:13" x14ac:dyDescent="0.3">
      <c r="G57" t="s">
        <v>106</v>
      </c>
    </row>
    <row r="60" spans="1:13" x14ac:dyDescent="0.3">
      <c r="E60" t="s">
        <v>105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Список!$C$1:$C$15</xm:f>
          </x14:formula1>
          <xm:sqref>A8:A16</xm:sqref>
        </x14:dataValidation>
        <x14:dataValidation type="list" allowBlank="1" showInputMessage="1" showErrorMessage="1">
          <x14:formula1>
            <xm:f>Список!$G$1:$G$2</xm:f>
          </x14:formula1>
          <xm:sqref>J8:J13</xm:sqref>
        </x14:dataValidation>
        <x14:dataValidation type="list" allowBlank="1" showInputMessage="1" showErrorMessage="1">
          <x14:formula1>
            <xm:f>Список!$C$1:$C$21</xm:f>
          </x14:formula1>
          <xm:sqref>A59:A1048576 A17:A53</xm:sqref>
        </x14:dataValidation>
        <x14:dataValidation type="list" allowBlank="1" showInputMessage="1" showErrorMessage="1">
          <x14:formula1>
            <xm:f>Список!$C$1:$C$29</xm:f>
          </x14:formula1>
          <xm:sqref>A54:A56</xm:sqref>
        </x14:dataValidation>
        <x14:dataValidation type="list" allowBlank="1" showInputMessage="1" showErrorMessage="1">
          <x14:formula1>
            <xm:f>Список!$F$1:$F$5</xm:f>
          </x14:formula1>
          <xm:sqref>B8:B1048576</xm:sqref>
        </x14:dataValidation>
        <x14:dataValidation type="list" allowBlank="1" showInputMessage="1" showErrorMessage="1">
          <x14:formula1>
            <xm:f>Список!$H$1:$H$2</xm:f>
          </x14:formula1>
          <xm:sqref>C8:C1048576</xm:sqref>
        </x14:dataValidation>
        <x14:dataValidation type="list" allowBlank="1" showInputMessage="1" showErrorMessage="1">
          <x14:formula1>
            <xm:f>Список!$G$1:$G$5</xm:f>
          </x14:formula1>
          <xm:sqref>J14:J1048576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B61"/>
  <sheetViews>
    <sheetView zoomScale="110" zoomScaleNormal="110" workbookViewId="0">
      <pane xSplit="1" ySplit="7" topLeftCell="B42" activePane="bottomRight" state="frozen"/>
      <selection pane="topRight" activeCell="B1" sqref="B1"/>
      <selection pane="bottomLeft" activeCell="A7" sqref="A7"/>
      <selection pane="bottomRight" activeCell="C61" sqref="C61"/>
    </sheetView>
  </sheetViews>
  <sheetFormatPr defaultRowHeight="14.4" x14ac:dyDescent="0.3"/>
  <cols>
    <col min="1" max="1" width="33.109375" customWidth="1"/>
    <col min="2" max="2" width="21.44140625" customWidth="1"/>
    <col min="3" max="3" width="29.33203125" customWidth="1"/>
    <col min="4" max="4" width="23.88671875" style="13" customWidth="1"/>
    <col min="5" max="5" width="26.109375" customWidth="1"/>
    <col min="6" max="6" width="19.109375" customWidth="1"/>
    <col min="7" max="7" width="17.33203125" customWidth="1"/>
    <col min="8" max="8" width="26.44140625" style="13" customWidth="1"/>
    <col min="9" max="9" width="20.33203125" customWidth="1"/>
    <col min="10" max="10" width="40.109375" style="13" customWidth="1"/>
    <col min="11" max="11" width="40.5546875" style="13" customWidth="1"/>
    <col min="12" max="12" width="30" style="13" customWidth="1"/>
    <col min="13" max="13" width="19.44140625" style="42" customWidth="1"/>
    <col min="14" max="14" width="19.44140625" customWidth="1"/>
    <col min="15" max="15" width="13.6640625" customWidth="1"/>
    <col min="17" max="17" width="17.6640625" style="19" bestFit="1" customWidth="1"/>
    <col min="18" max="18" width="24" style="19" customWidth="1"/>
    <col min="19" max="19" width="17.44140625" style="19" customWidth="1"/>
    <col min="21" max="23" width="17" style="13" customWidth="1"/>
    <col min="24" max="24" width="19.33203125" style="13" customWidth="1"/>
    <col min="25" max="25" width="19.5546875" style="13" customWidth="1"/>
    <col min="26" max="26" width="39" customWidth="1"/>
    <col min="27" max="27" width="22.33203125" customWidth="1"/>
    <col min="28" max="28" width="21.44140625" style="27" customWidth="1"/>
    <col min="29" max="29" width="21.109375" customWidth="1"/>
  </cols>
  <sheetData>
    <row r="1" spans="1:28" x14ac:dyDescent="0.3">
      <c r="B1" s="29"/>
      <c r="C1" s="29"/>
      <c r="E1" s="1"/>
      <c r="F1" s="19"/>
      <c r="G1" s="19"/>
      <c r="H1" s="1"/>
      <c r="I1" s="1"/>
      <c r="J1"/>
      <c r="K1"/>
      <c r="L1"/>
      <c r="Q1"/>
      <c r="R1"/>
      <c r="S1"/>
      <c r="U1"/>
      <c r="V1"/>
      <c r="W1"/>
      <c r="X1"/>
      <c r="Y1"/>
      <c r="AB1"/>
    </row>
    <row r="2" spans="1:28" x14ac:dyDescent="0.3">
      <c r="B2" s="29"/>
      <c r="C2" s="29"/>
      <c r="E2" s="1"/>
      <c r="F2" s="19"/>
      <c r="G2" s="19"/>
      <c r="H2" s="1"/>
      <c r="I2" s="1"/>
      <c r="J2"/>
      <c r="K2"/>
      <c r="L2"/>
      <c r="Q2"/>
      <c r="R2"/>
      <c r="S2"/>
      <c r="U2"/>
      <c r="V2"/>
      <c r="W2"/>
      <c r="X2"/>
      <c r="Y2"/>
      <c r="AB2"/>
    </row>
    <row r="3" spans="1:28" x14ac:dyDescent="0.3">
      <c r="B3" s="29"/>
      <c r="C3" s="29"/>
      <c r="E3" s="1"/>
      <c r="F3" s="19"/>
      <c r="G3" s="19"/>
      <c r="H3" s="1"/>
      <c r="I3" s="1"/>
      <c r="J3"/>
      <c r="K3"/>
      <c r="L3"/>
      <c r="Q3"/>
      <c r="R3"/>
      <c r="S3"/>
      <c r="U3"/>
      <c r="V3"/>
      <c r="W3"/>
      <c r="X3"/>
      <c r="Y3"/>
      <c r="AB3"/>
    </row>
    <row r="4" spans="1:28" x14ac:dyDescent="0.3">
      <c r="B4" s="29"/>
      <c r="C4" s="29"/>
      <c r="E4" s="1"/>
      <c r="F4" s="19"/>
      <c r="G4" s="19"/>
      <c r="H4" s="1"/>
      <c r="I4" s="1"/>
      <c r="J4"/>
      <c r="K4"/>
      <c r="L4"/>
      <c r="Q4"/>
      <c r="R4"/>
      <c r="S4"/>
      <c r="U4"/>
      <c r="V4"/>
      <c r="W4"/>
      <c r="X4"/>
      <c r="Y4"/>
      <c r="AB4"/>
    </row>
    <row r="5" spans="1:28" x14ac:dyDescent="0.3">
      <c r="B5" s="29"/>
      <c r="C5" s="29"/>
      <c r="E5" s="1"/>
      <c r="F5" s="19"/>
      <c r="G5" s="19"/>
      <c r="H5" s="1"/>
      <c r="I5" s="1"/>
      <c r="J5"/>
      <c r="K5"/>
      <c r="L5"/>
      <c r="Q5"/>
      <c r="R5"/>
      <c r="S5"/>
      <c r="U5"/>
      <c r="V5"/>
      <c r="W5"/>
      <c r="X5"/>
      <c r="Y5"/>
      <c r="AB5"/>
    </row>
    <row r="6" spans="1:28" ht="34.200000000000003" customHeight="1" x14ac:dyDescent="0.3">
      <c r="B6" s="29"/>
      <c r="C6" s="29"/>
      <c r="D6" s="30">
        <f>SUBTOTAL(9,D8:D1048576)</f>
        <v>162114.15799999997</v>
      </c>
      <c r="E6" s="1"/>
      <c r="F6" s="19"/>
      <c r="G6" s="19"/>
      <c r="H6" s="1"/>
      <c r="I6" s="1"/>
      <c r="J6"/>
      <c r="K6"/>
      <c r="L6"/>
      <c r="Q6"/>
      <c r="R6"/>
      <c r="S6"/>
      <c r="U6"/>
      <c r="V6"/>
      <c r="W6"/>
      <c r="X6"/>
      <c r="Y6"/>
      <c r="AB6"/>
    </row>
    <row r="7" spans="1:28" ht="43.95" customHeight="1" x14ac:dyDescent="0.3">
      <c r="A7" s="5" t="s">
        <v>0</v>
      </c>
      <c r="B7" s="6" t="s">
        <v>81</v>
      </c>
      <c r="C7" s="6" t="s">
        <v>82</v>
      </c>
      <c r="D7" s="15" t="s">
        <v>115</v>
      </c>
      <c r="E7" s="20" t="s">
        <v>60</v>
      </c>
      <c r="F7" s="16" t="s">
        <v>29</v>
      </c>
      <c r="G7" s="16" t="s">
        <v>30</v>
      </c>
      <c r="H7" s="20" t="s">
        <v>121</v>
      </c>
      <c r="I7" s="20" t="s">
        <v>122</v>
      </c>
      <c r="J7" s="6" t="s">
        <v>45</v>
      </c>
      <c r="K7" s="6" t="s">
        <v>77</v>
      </c>
      <c r="L7" s="34" t="s">
        <v>80</v>
      </c>
      <c r="M7" s="53" t="s">
        <v>139</v>
      </c>
      <c r="N7" s="54" t="s">
        <v>140</v>
      </c>
      <c r="O7" s="51" t="s">
        <v>141</v>
      </c>
      <c r="Q7"/>
      <c r="R7"/>
      <c r="S7"/>
      <c r="U7"/>
      <c r="V7"/>
      <c r="W7"/>
      <c r="X7"/>
      <c r="Y7"/>
      <c r="AB7"/>
    </row>
    <row r="8" spans="1:28" x14ac:dyDescent="0.3">
      <c r="A8" s="7" t="s">
        <v>23</v>
      </c>
      <c r="B8" s="8" t="s">
        <v>40</v>
      </c>
      <c r="C8" s="8" t="s">
        <v>206</v>
      </c>
      <c r="D8" s="12">
        <v>4542.4059999999999</v>
      </c>
      <c r="E8" s="22" t="s">
        <v>26</v>
      </c>
      <c r="F8" s="18">
        <v>46047.75</v>
      </c>
      <c r="G8" s="18">
        <v>46048.815972222219</v>
      </c>
      <c r="H8" s="22" t="s">
        <v>114</v>
      </c>
      <c r="I8" s="22">
        <v>46048</v>
      </c>
      <c r="J8" s="9" t="s">
        <v>46</v>
      </c>
      <c r="K8" s="9" t="s">
        <v>116</v>
      </c>
      <c r="L8" s="21">
        <v>46051</v>
      </c>
      <c r="M8" s="44">
        <f>_xlfn.ISOWEEKNUM(Таблица163[[#This Row],[Дата  составления  B\L Морского Судна]])</f>
        <v>5</v>
      </c>
      <c r="N8" s="52" t="str">
        <f>TEXT(Таблица163[[#This Row],[Дата  составления  B\L Морского Судна]],"МММ")</f>
        <v>янв</v>
      </c>
      <c r="O8" s="44">
        <f>YEAR(Таблица163[[#This Row],[Дата  составления  B\L Морского Судна]])</f>
        <v>2026</v>
      </c>
      <c r="P8" s="13"/>
      <c r="Q8"/>
      <c r="R8"/>
      <c r="S8" s="27"/>
      <c r="U8"/>
      <c r="V8"/>
      <c r="W8"/>
      <c r="X8"/>
      <c r="Y8"/>
      <c r="AB8"/>
    </row>
    <row r="9" spans="1:28" x14ac:dyDescent="0.3">
      <c r="A9" s="7" t="s">
        <v>2</v>
      </c>
      <c r="B9" s="8" t="s">
        <v>40</v>
      </c>
      <c r="C9" s="8" t="s">
        <v>206</v>
      </c>
      <c r="D9" s="12">
        <v>4011.3440000000001</v>
      </c>
      <c r="E9" s="22" t="s">
        <v>26</v>
      </c>
      <c r="F9" s="18">
        <v>46047.75</v>
      </c>
      <c r="G9" s="18">
        <v>46048.815972222219</v>
      </c>
      <c r="H9" s="22" t="s">
        <v>114</v>
      </c>
      <c r="I9" s="22">
        <v>46048</v>
      </c>
      <c r="J9" s="9" t="s">
        <v>46</v>
      </c>
      <c r="K9" s="9" t="s">
        <v>117</v>
      </c>
      <c r="L9" s="21">
        <v>46051</v>
      </c>
      <c r="M9" s="44">
        <f>_xlfn.ISOWEEKNUM(Таблица163[[#This Row],[Дата  составления  B\L Морского Судна]])</f>
        <v>5</v>
      </c>
      <c r="N9" s="52" t="str">
        <f>TEXT(Таблица163[[#This Row],[Дата  составления  B\L Морского Судна]],"МММ")</f>
        <v>янв</v>
      </c>
      <c r="O9" s="44">
        <f>YEAR(Таблица163[[#This Row],[Дата  составления  B\L Морского Судна]])</f>
        <v>2026</v>
      </c>
      <c r="P9" s="13"/>
      <c r="Q9"/>
      <c r="R9"/>
      <c r="S9" s="27"/>
      <c r="U9"/>
      <c r="V9"/>
      <c r="W9"/>
      <c r="X9"/>
      <c r="Y9"/>
      <c r="AB9"/>
    </row>
    <row r="10" spans="1:28" x14ac:dyDescent="0.3">
      <c r="A10" s="7" t="s">
        <v>63</v>
      </c>
      <c r="B10" s="8" t="s">
        <v>40</v>
      </c>
      <c r="C10" s="8" t="s">
        <v>206</v>
      </c>
      <c r="D10" s="12">
        <v>4159.9269999999997</v>
      </c>
      <c r="E10" s="22" t="s">
        <v>26</v>
      </c>
      <c r="F10" s="18">
        <v>46047.75</v>
      </c>
      <c r="G10" s="18">
        <v>46048.815972222219</v>
      </c>
      <c r="H10" s="22" t="s">
        <v>114</v>
      </c>
      <c r="I10" s="22">
        <v>46048</v>
      </c>
      <c r="J10" s="9" t="s">
        <v>46</v>
      </c>
      <c r="K10" s="9" t="s">
        <v>118</v>
      </c>
      <c r="L10" s="21">
        <v>46051</v>
      </c>
      <c r="M10" s="44">
        <f>_xlfn.ISOWEEKNUM(Таблица163[[#This Row],[Дата  составления  B\L Морского Судна]])</f>
        <v>5</v>
      </c>
      <c r="N10" s="52" t="str">
        <f>TEXT(Таблица163[[#This Row],[Дата  составления  B\L Морского Судна]],"МММ")</f>
        <v>янв</v>
      </c>
      <c r="O10" s="44">
        <f>YEAR(Таблица163[[#This Row],[Дата  составления  B\L Морского Судна]])</f>
        <v>2026</v>
      </c>
      <c r="P10" s="13"/>
      <c r="Q10"/>
      <c r="R10"/>
      <c r="S10" s="27"/>
      <c r="U10"/>
      <c r="V10"/>
      <c r="W10"/>
      <c r="X10"/>
      <c r="Y10"/>
      <c r="AB10"/>
    </row>
    <row r="11" spans="1:28" x14ac:dyDescent="0.3">
      <c r="A11" s="7" t="s">
        <v>4</v>
      </c>
      <c r="B11" s="8" t="s">
        <v>40</v>
      </c>
      <c r="C11" s="8" t="s">
        <v>206</v>
      </c>
      <c r="D11" s="12">
        <v>3398.27</v>
      </c>
      <c r="E11" s="22" t="s">
        <v>26</v>
      </c>
      <c r="F11" s="18">
        <v>46047.75</v>
      </c>
      <c r="G11" s="18">
        <v>46048.815972222219</v>
      </c>
      <c r="H11" s="22" t="s">
        <v>114</v>
      </c>
      <c r="I11" s="22">
        <v>46048</v>
      </c>
      <c r="J11" s="9" t="s">
        <v>46</v>
      </c>
      <c r="K11" s="9" t="s">
        <v>119</v>
      </c>
      <c r="L11" s="21">
        <v>46051</v>
      </c>
      <c r="M11" s="44">
        <f>_xlfn.ISOWEEKNUM(Таблица163[[#This Row],[Дата  составления  B\L Морского Судна]])</f>
        <v>5</v>
      </c>
      <c r="N11" s="52" t="str">
        <f>TEXT(Таблица163[[#This Row],[Дата  составления  B\L Морского Судна]],"МММ")</f>
        <v>янв</v>
      </c>
      <c r="O11" s="44">
        <f>YEAR(Таблица163[[#This Row],[Дата  составления  B\L Морского Судна]])</f>
        <v>2026</v>
      </c>
      <c r="P11" s="13"/>
      <c r="Q11"/>
      <c r="R11"/>
      <c r="S11" s="27"/>
      <c r="U11"/>
      <c r="V11"/>
      <c r="W11"/>
      <c r="X11"/>
      <c r="Y11"/>
      <c r="AB11"/>
    </row>
    <row r="12" spans="1:28" x14ac:dyDescent="0.3">
      <c r="A12" s="7" t="s">
        <v>1</v>
      </c>
      <c r="B12" s="8" t="s">
        <v>40</v>
      </c>
      <c r="C12" s="8" t="s">
        <v>206</v>
      </c>
      <c r="D12" s="12">
        <v>616.60400000000004</v>
      </c>
      <c r="E12" s="22" t="s">
        <v>26</v>
      </c>
      <c r="F12" s="18">
        <v>46047.75</v>
      </c>
      <c r="G12" s="18">
        <v>46048.815972222219</v>
      </c>
      <c r="H12" s="22" t="s">
        <v>114</v>
      </c>
      <c r="I12" s="22">
        <v>46048</v>
      </c>
      <c r="J12" s="9" t="s">
        <v>46</v>
      </c>
      <c r="K12" s="9" t="s">
        <v>120</v>
      </c>
      <c r="L12" s="21">
        <v>46051</v>
      </c>
      <c r="M12" s="44">
        <f>_xlfn.ISOWEEKNUM(Таблица163[[#This Row],[Дата  составления  B\L Морского Судна]])</f>
        <v>5</v>
      </c>
      <c r="N12" s="52" t="str">
        <f>TEXT(Таблица163[[#This Row],[Дата  составления  B\L Морского Судна]],"МММ")</f>
        <v>янв</v>
      </c>
      <c r="O12" s="44">
        <f>YEAR(Таблица163[[#This Row],[Дата  составления  B\L Морского Судна]])</f>
        <v>2026</v>
      </c>
      <c r="P12" s="13"/>
      <c r="Q12"/>
      <c r="R12"/>
      <c r="S12" s="27"/>
      <c r="U12"/>
      <c r="V12"/>
      <c r="W12"/>
      <c r="X12"/>
      <c r="Y12"/>
      <c r="AB12"/>
    </row>
    <row r="13" spans="1:28" x14ac:dyDescent="0.3">
      <c r="A13" s="7" t="s">
        <v>23</v>
      </c>
      <c r="B13" s="8" t="s">
        <v>40</v>
      </c>
      <c r="C13" s="8" t="s">
        <v>206</v>
      </c>
      <c r="D13" s="12">
        <v>266.22899999999998</v>
      </c>
      <c r="E13" s="22" t="s">
        <v>27</v>
      </c>
      <c r="F13" s="18">
        <v>46046.104166666664</v>
      </c>
      <c r="G13" s="18"/>
      <c r="H13" s="22" t="s">
        <v>124</v>
      </c>
      <c r="I13" s="22">
        <v>46048</v>
      </c>
      <c r="J13" s="9" t="s">
        <v>46</v>
      </c>
      <c r="K13" s="9" t="s">
        <v>123</v>
      </c>
      <c r="L13" s="21">
        <v>46051</v>
      </c>
      <c r="M13" s="44">
        <f>_xlfn.ISOWEEKNUM(Таблица163[[#This Row],[Дата  составления  B\L Морского Судна]])</f>
        <v>5</v>
      </c>
      <c r="N13" s="52" t="str">
        <f>TEXT(Таблица163[[#This Row],[Дата  составления  B\L Морского Судна]],"МММ")</f>
        <v>янв</v>
      </c>
      <c r="O13" s="44">
        <f>YEAR(Таблица163[[#This Row],[Дата  составления  B\L Морского Судна]])</f>
        <v>2026</v>
      </c>
      <c r="P13" s="13"/>
      <c r="Q13"/>
      <c r="R13"/>
      <c r="S13" s="27"/>
      <c r="U13"/>
      <c r="V13"/>
      <c r="W13"/>
      <c r="X13"/>
      <c r="Y13"/>
      <c r="AB13"/>
    </row>
    <row r="14" spans="1:28" x14ac:dyDescent="0.3">
      <c r="A14" s="7" t="s">
        <v>7</v>
      </c>
      <c r="B14" s="8" t="s">
        <v>40</v>
      </c>
      <c r="C14" s="8" t="s">
        <v>206</v>
      </c>
      <c r="D14" s="12">
        <v>3214.2060000000001</v>
      </c>
      <c r="E14" s="22" t="s">
        <v>27</v>
      </c>
      <c r="F14" s="18">
        <v>46046.104166666664</v>
      </c>
      <c r="G14" s="18"/>
      <c r="H14" s="22" t="s">
        <v>124</v>
      </c>
      <c r="I14" s="22">
        <v>46048</v>
      </c>
      <c r="J14" s="9" t="s">
        <v>46</v>
      </c>
      <c r="K14" s="9" t="s">
        <v>125</v>
      </c>
      <c r="L14" s="21">
        <v>46051</v>
      </c>
      <c r="M14" s="44">
        <f>_xlfn.ISOWEEKNUM(Таблица163[[#This Row],[Дата  составления  B\L Морского Судна]])</f>
        <v>5</v>
      </c>
      <c r="N14" s="52" t="str">
        <f>TEXT(Таблица163[[#This Row],[Дата  составления  B\L Морского Судна]],"МММ")</f>
        <v>янв</v>
      </c>
      <c r="O14" s="44">
        <f>YEAR(Таблица163[[#This Row],[Дата  составления  B\L Морского Судна]])</f>
        <v>2026</v>
      </c>
      <c r="P14" s="13"/>
      <c r="Q14"/>
      <c r="R14"/>
      <c r="S14" s="27"/>
      <c r="U14"/>
      <c r="V14"/>
      <c r="W14"/>
      <c r="X14"/>
      <c r="Y14"/>
      <c r="AB14"/>
    </row>
    <row r="15" spans="1:28" x14ac:dyDescent="0.3">
      <c r="A15" s="7" t="s">
        <v>8</v>
      </c>
      <c r="B15" s="8" t="s">
        <v>40</v>
      </c>
      <c r="C15" s="8" t="s">
        <v>206</v>
      </c>
      <c r="D15" s="12">
        <v>3269.0430000000001</v>
      </c>
      <c r="E15" s="22" t="s">
        <v>27</v>
      </c>
      <c r="F15" s="18">
        <v>46046.104166666664</v>
      </c>
      <c r="G15" s="18"/>
      <c r="H15" s="22" t="s">
        <v>124</v>
      </c>
      <c r="I15" s="22">
        <v>46048</v>
      </c>
      <c r="J15" s="9" t="s">
        <v>46</v>
      </c>
      <c r="K15" s="9" t="s">
        <v>126</v>
      </c>
      <c r="L15" s="22">
        <v>46051</v>
      </c>
      <c r="M15" s="44">
        <f>_xlfn.ISOWEEKNUM(Таблица163[[#This Row],[Дата  составления  B\L Морского Судна]])</f>
        <v>5</v>
      </c>
      <c r="N15" s="52" t="str">
        <f>TEXT(Таблица163[[#This Row],[Дата  составления  B\L Морского Судна]],"МММ")</f>
        <v>янв</v>
      </c>
      <c r="O15" s="44">
        <f>YEAR(Таблица163[[#This Row],[Дата  составления  B\L Морского Судна]])</f>
        <v>2026</v>
      </c>
      <c r="P15" s="19"/>
      <c r="R15"/>
      <c r="S15" s="13"/>
      <c r="T15" s="13"/>
      <c r="X15"/>
      <c r="Y15"/>
      <c r="Z15" s="27"/>
      <c r="AB15"/>
    </row>
    <row r="16" spans="1:28" x14ac:dyDescent="0.3">
      <c r="A16" s="7" t="s">
        <v>6</v>
      </c>
      <c r="B16" s="8" t="s">
        <v>40</v>
      </c>
      <c r="C16" s="8" t="s">
        <v>206</v>
      </c>
      <c r="D16" s="12">
        <v>3249.9639999999999</v>
      </c>
      <c r="E16" s="22" t="s">
        <v>27</v>
      </c>
      <c r="F16" s="18">
        <v>46046.104166666664</v>
      </c>
      <c r="G16" s="18"/>
      <c r="H16" s="22" t="s">
        <v>124</v>
      </c>
      <c r="I16" s="22">
        <v>46048</v>
      </c>
      <c r="J16" s="9" t="s">
        <v>46</v>
      </c>
      <c r="K16" s="9" t="s">
        <v>127</v>
      </c>
      <c r="L16" s="22">
        <v>46051</v>
      </c>
      <c r="M16" s="44">
        <f>_xlfn.ISOWEEKNUM(Таблица163[[#This Row],[Дата  составления  B\L Морского Судна]])</f>
        <v>5</v>
      </c>
      <c r="N16" s="52" t="str">
        <f>TEXT(Таблица163[[#This Row],[Дата  составления  B\L Морского Судна]],"МММ")</f>
        <v>янв</v>
      </c>
      <c r="O16" s="44">
        <f>YEAR(Таблица163[[#This Row],[Дата  составления  B\L Морского Судна]])</f>
        <v>2026</v>
      </c>
      <c r="P16" s="19"/>
      <c r="R16"/>
      <c r="S16" s="13"/>
      <c r="T16" s="13"/>
      <c r="X16"/>
      <c r="Y16"/>
      <c r="Z16" s="27"/>
      <c r="AB16"/>
    </row>
    <row r="17" spans="1:28" x14ac:dyDescent="0.3">
      <c r="A17" s="7" t="s">
        <v>5</v>
      </c>
      <c r="B17" s="8" t="s">
        <v>40</v>
      </c>
      <c r="C17" s="8" t="s">
        <v>206</v>
      </c>
      <c r="D17" s="12">
        <v>3179.6790000000001</v>
      </c>
      <c r="E17" s="22" t="s">
        <v>27</v>
      </c>
      <c r="F17" s="18">
        <v>46046.104166666664</v>
      </c>
      <c r="G17" s="18"/>
      <c r="H17" s="22" t="s">
        <v>124</v>
      </c>
      <c r="I17" s="22">
        <v>46048</v>
      </c>
      <c r="J17" s="9" t="s">
        <v>46</v>
      </c>
      <c r="K17" s="9" t="s">
        <v>128</v>
      </c>
      <c r="L17" s="22">
        <v>46051</v>
      </c>
      <c r="M17" s="44">
        <f>_xlfn.ISOWEEKNUM(Таблица163[[#This Row],[Дата  составления  B\L Морского Судна]])</f>
        <v>5</v>
      </c>
      <c r="N17" s="52" t="str">
        <f>TEXT(Таблица163[[#This Row],[Дата  составления  B\L Морского Судна]],"МММ")</f>
        <v>янв</v>
      </c>
      <c r="O17" s="44">
        <f>YEAR(Таблица163[[#This Row],[Дата  составления  B\L Морского Судна]])</f>
        <v>2026</v>
      </c>
      <c r="P17" s="19"/>
      <c r="R17"/>
      <c r="S17" s="13"/>
      <c r="T17" s="13"/>
      <c r="X17"/>
      <c r="Y17"/>
      <c r="Z17" s="27"/>
      <c r="AB17"/>
    </row>
    <row r="18" spans="1:28" x14ac:dyDescent="0.3">
      <c r="A18" s="7" t="s">
        <v>4</v>
      </c>
      <c r="B18" s="8" t="s">
        <v>40</v>
      </c>
      <c r="C18" s="8" t="s">
        <v>206</v>
      </c>
      <c r="D18" s="12">
        <v>4012.3980000000001</v>
      </c>
      <c r="E18" s="22" t="s">
        <v>27</v>
      </c>
      <c r="F18" s="18">
        <v>46046.104166666664</v>
      </c>
      <c r="G18" s="18"/>
      <c r="H18" s="22" t="s">
        <v>124</v>
      </c>
      <c r="I18" s="22">
        <v>46048</v>
      </c>
      <c r="J18" s="9" t="s">
        <v>46</v>
      </c>
      <c r="K18" s="9" t="s">
        <v>129</v>
      </c>
      <c r="L18" s="22">
        <v>46051</v>
      </c>
      <c r="M18" s="44">
        <f>_xlfn.ISOWEEKNUM(Таблица163[[#This Row],[Дата  составления  B\L Морского Судна]])</f>
        <v>5</v>
      </c>
      <c r="N18" s="52" t="str">
        <f>TEXT(Таблица163[[#This Row],[Дата  составления  B\L Морского Судна]],"МММ")</f>
        <v>янв</v>
      </c>
      <c r="O18" s="44">
        <f>YEAR(Таблица163[[#This Row],[Дата  составления  B\L Морского Судна]])</f>
        <v>2026</v>
      </c>
      <c r="P18" s="19"/>
      <c r="R18"/>
      <c r="S18" s="13"/>
      <c r="T18" s="13"/>
      <c r="X18"/>
      <c r="Y18"/>
      <c r="Z18" s="27"/>
      <c r="AB18"/>
    </row>
    <row r="19" spans="1:28" x14ac:dyDescent="0.3">
      <c r="A19" s="7" t="s">
        <v>1</v>
      </c>
      <c r="B19" s="8" t="s">
        <v>40</v>
      </c>
      <c r="C19" s="8" t="s">
        <v>206</v>
      </c>
      <c r="D19" s="12">
        <v>3300.29</v>
      </c>
      <c r="E19" s="22" t="s">
        <v>27</v>
      </c>
      <c r="F19" s="18">
        <v>46046.104166666664</v>
      </c>
      <c r="G19" s="18"/>
      <c r="H19" s="22" t="s">
        <v>124</v>
      </c>
      <c r="I19" s="22">
        <v>46048</v>
      </c>
      <c r="J19" s="9" t="s">
        <v>46</v>
      </c>
      <c r="K19" s="9" t="s">
        <v>130</v>
      </c>
      <c r="L19" s="22">
        <v>46051</v>
      </c>
      <c r="M19" s="44">
        <f>_xlfn.ISOWEEKNUM(Таблица163[[#This Row],[Дата  составления  B\L Морского Судна]])</f>
        <v>5</v>
      </c>
      <c r="N19" s="52" t="str">
        <f>TEXT(Таблица163[[#This Row],[Дата  составления  B\L Морского Судна]],"МММ")</f>
        <v>янв</v>
      </c>
      <c r="O19" s="44">
        <f>YEAR(Таблица163[[#This Row],[Дата  составления  B\L Морского Судна]])</f>
        <v>2026</v>
      </c>
      <c r="P19" s="19"/>
      <c r="R19"/>
      <c r="S19" s="13"/>
      <c r="T19" s="13"/>
      <c r="X19"/>
      <c r="Y19"/>
      <c r="Z19" s="27"/>
      <c r="AB19"/>
    </row>
    <row r="20" spans="1:28" x14ac:dyDescent="0.3">
      <c r="A20" s="7" t="s">
        <v>8</v>
      </c>
      <c r="B20" s="8" t="s">
        <v>40</v>
      </c>
      <c r="C20" s="8" t="s">
        <v>206</v>
      </c>
      <c r="D20" s="12">
        <v>3299.9589999999998</v>
      </c>
      <c r="E20" s="22" t="s">
        <v>27</v>
      </c>
      <c r="F20" s="18">
        <v>46046.104166666664</v>
      </c>
      <c r="G20" s="18"/>
      <c r="H20" s="22" t="s">
        <v>124</v>
      </c>
      <c r="I20" s="22">
        <v>46048</v>
      </c>
      <c r="J20" s="9" t="s">
        <v>46</v>
      </c>
      <c r="K20" s="9" t="s">
        <v>131</v>
      </c>
      <c r="L20" s="22">
        <v>46051</v>
      </c>
      <c r="M20" s="44">
        <f>_xlfn.ISOWEEKNUM(Таблица163[[#This Row],[Дата  составления  B\L Морского Судна]])</f>
        <v>5</v>
      </c>
      <c r="N20" s="52" t="str">
        <f>TEXT(Таблица163[[#This Row],[Дата  составления  B\L Морского Судна]],"МММ")</f>
        <v>янв</v>
      </c>
      <c r="O20" s="44">
        <f>YEAR(Таблица163[[#This Row],[Дата  составления  B\L Морского Судна]])</f>
        <v>2026</v>
      </c>
      <c r="P20" s="19"/>
      <c r="R20"/>
      <c r="S20" s="13"/>
      <c r="T20" s="13"/>
      <c r="X20"/>
      <c r="Y20"/>
      <c r="Z20" s="27"/>
      <c r="AB20"/>
    </row>
    <row r="21" spans="1:28" x14ac:dyDescent="0.3">
      <c r="A21" s="7" t="s">
        <v>6</v>
      </c>
      <c r="B21" s="8" t="s">
        <v>40</v>
      </c>
      <c r="C21" s="8" t="s">
        <v>206</v>
      </c>
      <c r="D21" s="12">
        <v>3251.2559999999999</v>
      </c>
      <c r="E21" s="22" t="s">
        <v>27</v>
      </c>
      <c r="F21" s="18">
        <v>46046.104166666664</v>
      </c>
      <c r="G21" s="18"/>
      <c r="H21" s="22" t="s">
        <v>124</v>
      </c>
      <c r="I21" s="22">
        <v>46048</v>
      </c>
      <c r="J21" s="9" t="s">
        <v>46</v>
      </c>
      <c r="K21" s="9" t="s">
        <v>132</v>
      </c>
      <c r="L21" s="22">
        <v>46051</v>
      </c>
      <c r="M21" s="44">
        <f>_xlfn.ISOWEEKNUM(Таблица163[[#This Row],[Дата  составления  B\L Морского Судна]])</f>
        <v>5</v>
      </c>
      <c r="N21" s="52" t="str">
        <f>TEXT(Таблица163[[#This Row],[Дата  составления  B\L Морского Судна]],"МММ")</f>
        <v>янв</v>
      </c>
      <c r="O21" s="44">
        <f>YEAR(Таблица163[[#This Row],[Дата  составления  B\L Морского Судна]])</f>
        <v>2026</v>
      </c>
      <c r="P21" s="19"/>
      <c r="R21"/>
      <c r="S21" s="13"/>
      <c r="T21" s="13"/>
      <c r="X21"/>
      <c r="Y21"/>
      <c r="Z21" s="27"/>
      <c r="AB21"/>
    </row>
    <row r="22" spans="1:28" x14ac:dyDescent="0.3">
      <c r="A22" s="7" t="s">
        <v>4</v>
      </c>
      <c r="B22" s="8" t="s">
        <v>40</v>
      </c>
      <c r="C22" s="8" t="s">
        <v>206</v>
      </c>
      <c r="D22" s="12">
        <v>655.24599999999998</v>
      </c>
      <c r="E22" s="22" t="s">
        <v>27</v>
      </c>
      <c r="F22" s="18">
        <v>46046.104166666664</v>
      </c>
      <c r="G22" s="18"/>
      <c r="H22" s="22" t="s">
        <v>124</v>
      </c>
      <c r="I22" s="22">
        <v>46048</v>
      </c>
      <c r="J22" s="9" t="s">
        <v>46</v>
      </c>
      <c r="K22" s="9" t="s">
        <v>119</v>
      </c>
      <c r="L22" s="22">
        <v>46051</v>
      </c>
      <c r="M22" s="44">
        <f>_xlfn.ISOWEEKNUM(Таблица163[[#This Row],[Дата  составления  B\L Морского Судна]])</f>
        <v>5</v>
      </c>
      <c r="N22" s="52" t="str">
        <f>TEXT(Таблица163[[#This Row],[Дата  составления  B\L Морского Судна]],"МММ")</f>
        <v>янв</v>
      </c>
      <c r="O22" s="44">
        <f>YEAR(Таблица163[[#This Row],[Дата  составления  B\L Морского Судна]])</f>
        <v>2026</v>
      </c>
      <c r="P22" s="19"/>
      <c r="R22"/>
      <c r="S22" s="13"/>
      <c r="T22" s="13"/>
      <c r="X22"/>
      <c r="Y22"/>
      <c r="Z22" s="27"/>
      <c r="AB22"/>
    </row>
    <row r="23" spans="1:28" x14ac:dyDescent="0.3">
      <c r="A23" s="49" t="s">
        <v>4</v>
      </c>
      <c r="B23" s="8" t="s">
        <v>40</v>
      </c>
      <c r="C23" s="8" t="s">
        <v>206</v>
      </c>
      <c r="D23" s="12">
        <v>1.73</v>
      </c>
      <c r="E23" s="48" t="s">
        <v>27</v>
      </c>
      <c r="F23" s="18">
        <v>46046.104166666664</v>
      </c>
      <c r="G23" s="18"/>
      <c r="H23" s="48" t="s">
        <v>124</v>
      </c>
      <c r="I23" s="22">
        <v>46048</v>
      </c>
      <c r="J23" s="12" t="s">
        <v>46</v>
      </c>
      <c r="K23" s="31" t="s">
        <v>119</v>
      </c>
      <c r="L23" s="22">
        <v>46051</v>
      </c>
      <c r="M23" s="44">
        <f>_xlfn.ISOWEEKNUM(Таблица163[[#This Row],[Дата  составления  B\L Морского Судна]])</f>
        <v>5</v>
      </c>
      <c r="N23" s="52" t="str">
        <f>TEXT(Таблица163[[#This Row],[Дата  составления  B\L Морского Судна]],"МММ")</f>
        <v>янв</v>
      </c>
      <c r="O23" s="44">
        <f>YEAR(Таблица163[[#This Row],[Дата  составления  B\L Морского Судна]])</f>
        <v>2026</v>
      </c>
    </row>
    <row r="24" spans="1:28" x14ac:dyDescent="0.3">
      <c r="A24" s="49" t="s">
        <v>64</v>
      </c>
      <c r="B24" s="8" t="s">
        <v>40</v>
      </c>
      <c r="C24" s="8" t="s">
        <v>206</v>
      </c>
      <c r="D24" s="12">
        <v>4196.6220000000003</v>
      </c>
      <c r="E24" s="48" t="s">
        <v>26</v>
      </c>
      <c r="F24" s="18"/>
      <c r="G24" s="18"/>
      <c r="H24" s="48" t="s">
        <v>24</v>
      </c>
      <c r="I24" s="22">
        <v>46059</v>
      </c>
      <c r="J24" s="12" t="s">
        <v>46</v>
      </c>
      <c r="K24" s="31" t="s">
        <v>156</v>
      </c>
      <c r="L24" s="22">
        <v>46061</v>
      </c>
      <c r="M24" s="45">
        <f>_xlfn.ISOWEEKNUM(Таблица163[[#This Row],[Дата  составления  B\L Морского Судна]])</f>
        <v>6</v>
      </c>
      <c r="N24" s="79" t="str">
        <f>TEXT(Таблица163[[#This Row],[Дата  составления  B\L Морского Судна]],"МММ")</f>
        <v>фев</v>
      </c>
      <c r="O24" s="45">
        <f>YEAR(Таблица163[[#This Row],[Дата  составления  B\L Морского Судна]])</f>
        <v>2026</v>
      </c>
    </row>
    <row r="25" spans="1:28" x14ac:dyDescent="0.3">
      <c r="A25" s="49" t="s">
        <v>5</v>
      </c>
      <c r="B25" s="8" t="s">
        <v>40</v>
      </c>
      <c r="C25" s="8" t="s">
        <v>206</v>
      </c>
      <c r="D25" s="12">
        <v>868.221</v>
      </c>
      <c r="E25" s="48" t="s">
        <v>26</v>
      </c>
      <c r="F25" s="18"/>
      <c r="G25" s="18"/>
      <c r="H25" s="48" t="s">
        <v>24</v>
      </c>
      <c r="I25" s="22">
        <v>46059</v>
      </c>
      <c r="J25" s="12" t="s">
        <v>46</v>
      </c>
      <c r="K25" s="31" t="s">
        <v>157</v>
      </c>
      <c r="L25" s="22">
        <v>46061</v>
      </c>
      <c r="M25" s="45">
        <f>_xlfn.ISOWEEKNUM(Таблица163[[#This Row],[Дата  составления  B\L Морского Судна]])</f>
        <v>6</v>
      </c>
      <c r="N25" s="79" t="str">
        <f>TEXT(Таблица163[[#This Row],[Дата  составления  B\L Морского Судна]],"МММ")</f>
        <v>фев</v>
      </c>
      <c r="O25" s="45">
        <f>YEAR(Таблица163[[#This Row],[Дата  составления  B\L Морского Судна]])</f>
        <v>2026</v>
      </c>
    </row>
    <row r="26" spans="1:28" x14ac:dyDescent="0.3">
      <c r="A26" s="49" t="s">
        <v>1</v>
      </c>
      <c r="B26" s="8" t="s">
        <v>40</v>
      </c>
      <c r="C26" s="8" t="s">
        <v>206</v>
      </c>
      <c r="D26" s="12">
        <v>2486.5810000000001</v>
      </c>
      <c r="E26" s="48" t="s">
        <v>26</v>
      </c>
      <c r="F26" s="18"/>
      <c r="G26" s="18"/>
      <c r="H26" s="48" t="s">
        <v>24</v>
      </c>
      <c r="I26" s="22">
        <v>46059</v>
      </c>
      <c r="J26" s="12" t="s">
        <v>46</v>
      </c>
      <c r="K26" s="31" t="s">
        <v>120</v>
      </c>
      <c r="L26" s="22">
        <v>46061</v>
      </c>
      <c r="M26" s="45">
        <f>_xlfn.ISOWEEKNUM(Таблица163[[#This Row],[Дата  составления  B\L Морского Судна]])</f>
        <v>6</v>
      </c>
      <c r="N26" s="79" t="str">
        <f>TEXT(Таблица163[[#This Row],[Дата  составления  B\L Морского Судна]],"МММ")</f>
        <v>фев</v>
      </c>
      <c r="O26" s="45">
        <f>YEAR(Таблица163[[#This Row],[Дата  составления  B\L Морского Судна]])</f>
        <v>2026</v>
      </c>
    </row>
    <row r="27" spans="1:28" x14ac:dyDescent="0.3">
      <c r="A27" s="76" t="s">
        <v>23</v>
      </c>
      <c r="B27" s="8" t="s">
        <v>40</v>
      </c>
      <c r="C27" s="8" t="s">
        <v>206</v>
      </c>
      <c r="D27" s="12">
        <v>4812.326</v>
      </c>
      <c r="E27" s="48" t="s">
        <v>26</v>
      </c>
      <c r="F27" s="18"/>
      <c r="G27" s="18"/>
      <c r="H27" s="48" t="s">
        <v>24</v>
      </c>
      <c r="I27" s="22">
        <v>46059</v>
      </c>
      <c r="J27" s="12" t="s">
        <v>46</v>
      </c>
      <c r="K27" s="77" t="s">
        <v>158</v>
      </c>
      <c r="L27" s="22">
        <v>46061</v>
      </c>
      <c r="M27" s="44">
        <f>_xlfn.ISOWEEKNUM(Таблица163[[#This Row],[Дата  составления  B\L Морского Судна]])</f>
        <v>6</v>
      </c>
      <c r="N27" s="52" t="str">
        <f>TEXT(Таблица163[[#This Row],[Дата  составления  B\L Морского Судна]],"МММ")</f>
        <v>фев</v>
      </c>
      <c r="O27" s="44">
        <f>YEAR(Таблица163[[#This Row],[Дата  составления  B\L Морского Судна]])</f>
        <v>2026</v>
      </c>
    </row>
    <row r="28" spans="1:28" x14ac:dyDescent="0.3">
      <c r="A28" s="76" t="s">
        <v>7</v>
      </c>
      <c r="B28" s="8" t="s">
        <v>40</v>
      </c>
      <c r="C28" s="8" t="s">
        <v>206</v>
      </c>
      <c r="D28" s="12">
        <v>3209.933</v>
      </c>
      <c r="E28" s="48" t="s">
        <v>26</v>
      </c>
      <c r="F28" s="18"/>
      <c r="G28" s="18"/>
      <c r="H28" s="48" t="s">
        <v>24</v>
      </c>
      <c r="I28" s="22">
        <v>46059</v>
      </c>
      <c r="J28" s="12" t="s">
        <v>46</v>
      </c>
      <c r="K28" s="77" t="s">
        <v>159</v>
      </c>
      <c r="L28" s="22">
        <v>46061</v>
      </c>
      <c r="M28" s="44">
        <f>_xlfn.ISOWEEKNUM(Таблица163[[#This Row],[Дата  составления  B\L Морского Судна]])</f>
        <v>6</v>
      </c>
      <c r="N28" s="52" t="str">
        <f>TEXT(Таблица163[[#This Row],[Дата  составления  B\L Морского Судна]],"МММ")</f>
        <v>фев</v>
      </c>
      <c r="O28" s="44">
        <f>YEAR(Таблица163[[#This Row],[Дата  составления  B\L Морского Судна]])</f>
        <v>2026</v>
      </c>
    </row>
    <row r="29" spans="1:28" x14ac:dyDescent="0.3">
      <c r="A29" s="76" t="s">
        <v>5</v>
      </c>
      <c r="B29" s="8" t="s">
        <v>40</v>
      </c>
      <c r="C29" s="8" t="s">
        <v>206</v>
      </c>
      <c r="D29" s="12">
        <v>3300.549</v>
      </c>
      <c r="E29" s="48" t="s">
        <v>26</v>
      </c>
      <c r="F29" s="18"/>
      <c r="G29" s="18"/>
      <c r="H29" s="48" t="s">
        <v>24</v>
      </c>
      <c r="I29" s="22">
        <v>46059</v>
      </c>
      <c r="J29" s="12" t="s">
        <v>46</v>
      </c>
      <c r="K29" s="77" t="s">
        <v>160</v>
      </c>
      <c r="L29" s="22">
        <v>46061</v>
      </c>
      <c r="M29" s="44">
        <f>_xlfn.ISOWEEKNUM(Таблица163[[#This Row],[Дата  составления  B\L Морского Судна]])</f>
        <v>6</v>
      </c>
      <c r="N29" s="52" t="str">
        <f>TEXT(Таблица163[[#This Row],[Дата  составления  B\L Морского Судна]],"МММ")</f>
        <v>фев</v>
      </c>
      <c r="O29" s="44">
        <f>YEAR(Таблица163[[#This Row],[Дата  составления  B\L Морского Судна]])</f>
        <v>2026</v>
      </c>
    </row>
    <row r="30" spans="1:28" x14ac:dyDescent="0.3">
      <c r="A30" s="76" t="s">
        <v>2</v>
      </c>
      <c r="B30" s="8" t="s">
        <v>40</v>
      </c>
      <c r="C30" s="8" t="s">
        <v>206</v>
      </c>
      <c r="D30" s="11">
        <v>3900</v>
      </c>
      <c r="E30" s="78" t="s">
        <v>26</v>
      </c>
      <c r="F30" s="17"/>
      <c r="G30" s="17"/>
      <c r="H30" s="78" t="s">
        <v>24</v>
      </c>
      <c r="I30" s="22">
        <v>46059</v>
      </c>
      <c r="J30" s="12" t="s">
        <v>46</v>
      </c>
      <c r="K30" s="77" t="s">
        <v>161</v>
      </c>
      <c r="L30" s="22">
        <v>46061</v>
      </c>
      <c r="M30" s="44">
        <f>_xlfn.ISOWEEKNUM(Таблица163[[#This Row],[Дата  составления  B\L Морского Судна]])</f>
        <v>6</v>
      </c>
      <c r="N30" s="52" t="str">
        <f>TEXT(Таблица163[[#This Row],[Дата  составления  B\L Морского Судна]],"МММ")</f>
        <v>фев</v>
      </c>
      <c r="O30" s="44">
        <f>YEAR(Таблица163[[#This Row],[Дата  составления  B\L Морского Судна]])</f>
        <v>2026</v>
      </c>
    </row>
    <row r="31" spans="1:28" x14ac:dyDescent="0.3">
      <c r="A31" s="76" t="s">
        <v>23</v>
      </c>
      <c r="B31" s="8" t="s">
        <v>40</v>
      </c>
      <c r="C31" s="8" t="s">
        <v>206</v>
      </c>
      <c r="D31" s="11">
        <v>214.47300000000001</v>
      </c>
      <c r="E31" s="78" t="s">
        <v>26</v>
      </c>
      <c r="F31" s="17"/>
      <c r="G31" s="17"/>
      <c r="H31" s="78" t="s">
        <v>24</v>
      </c>
      <c r="I31" s="22">
        <v>46059</v>
      </c>
      <c r="J31" s="12" t="s">
        <v>46</v>
      </c>
      <c r="K31" s="77" t="s">
        <v>116</v>
      </c>
      <c r="L31" s="22">
        <v>46061</v>
      </c>
      <c r="M31" s="44">
        <f>_xlfn.ISOWEEKNUM(Таблица163[[#This Row],[Дата  составления  B\L Морского Судна]])</f>
        <v>6</v>
      </c>
      <c r="N31" s="52" t="str">
        <f>TEXT(Таблица163[[#This Row],[Дата  составления  B\L Морского Судна]],"МММ")</f>
        <v>фев</v>
      </c>
      <c r="O31" s="44">
        <f>YEAR(Таблица163[[#This Row],[Дата  составления  B\L Морского Судна]])</f>
        <v>2026</v>
      </c>
    </row>
    <row r="32" spans="1:28" x14ac:dyDescent="0.3">
      <c r="A32" s="76" t="s">
        <v>2</v>
      </c>
      <c r="B32" s="8" t="s">
        <v>40</v>
      </c>
      <c r="C32" s="8" t="s">
        <v>206</v>
      </c>
      <c r="D32" s="11">
        <v>3572.3649999999998</v>
      </c>
      <c r="E32" s="78" t="s">
        <v>26</v>
      </c>
      <c r="F32" s="17"/>
      <c r="G32" s="17"/>
      <c r="H32" s="78" t="s">
        <v>24</v>
      </c>
      <c r="I32" s="22">
        <v>46059</v>
      </c>
      <c r="J32" s="12" t="s">
        <v>46</v>
      </c>
      <c r="K32" s="77" t="s">
        <v>162</v>
      </c>
      <c r="L32" s="22">
        <v>46061</v>
      </c>
      <c r="M32" s="44">
        <f>_xlfn.ISOWEEKNUM(Таблица163[[#This Row],[Дата  составления  B\L Морского Судна]])</f>
        <v>6</v>
      </c>
      <c r="N32" s="52" t="str">
        <f>TEXT(Таблица163[[#This Row],[Дата  составления  B\L Морского Судна]],"МММ")</f>
        <v>фев</v>
      </c>
      <c r="O32" s="44">
        <f>YEAR(Таблица163[[#This Row],[Дата  составления  B\L Морского Судна]])</f>
        <v>2026</v>
      </c>
    </row>
    <row r="33" spans="1:15" x14ac:dyDescent="0.3">
      <c r="A33" s="76" t="s">
        <v>63</v>
      </c>
      <c r="B33" s="8" t="s">
        <v>40</v>
      </c>
      <c r="C33" s="8" t="s">
        <v>206</v>
      </c>
      <c r="D33" s="12">
        <v>4300.5600000000004</v>
      </c>
      <c r="E33" s="48" t="s">
        <v>26</v>
      </c>
      <c r="F33" s="18"/>
      <c r="G33" s="18"/>
      <c r="H33" s="48" t="s">
        <v>179</v>
      </c>
      <c r="I33" s="22">
        <v>46087</v>
      </c>
      <c r="J33" s="12" t="s">
        <v>46</v>
      </c>
      <c r="K33" s="77" t="s">
        <v>180</v>
      </c>
      <c r="L33" s="78"/>
      <c r="M33" s="44">
        <f>_xlfn.ISOWEEKNUM(Таблица163[[#This Row],[Дата  составления  B\L Морского Судна]])</f>
        <v>10</v>
      </c>
      <c r="N33" s="52" t="str">
        <f>TEXT(Таблица163[[#This Row],[Дата  составления  B\L Морского Судна]],"МММ")</f>
        <v>мар</v>
      </c>
      <c r="O33" s="44">
        <f>YEAR(Таблица163[[#This Row],[Дата  составления  B\L Морского Судна]])</f>
        <v>2026</v>
      </c>
    </row>
    <row r="34" spans="1:15" x14ac:dyDescent="0.3">
      <c r="A34" s="76" t="s">
        <v>2</v>
      </c>
      <c r="B34" s="8" t="s">
        <v>40</v>
      </c>
      <c r="C34" s="8" t="s">
        <v>206</v>
      </c>
      <c r="D34" s="12">
        <v>429.392</v>
      </c>
      <c r="E34" s="48" t="s">
        <v>26</v>
      </c>
      <c r="F34" s="18"/>
      <c r="G34" s="18"/>
      <c r="H34" s="48" t="s">
        <v>179</v>
      </c>
      <c r="I34" s="22">
        <v>46087</v>
      </c>
      <c r="J34" s="12" t="s">
        <v>46</v>
      </c>
      <c r="K34" s="77" t="s">
        <v>162</v>
      </c>
      <c r="L34" s="78"/>
      <c r="M34" s="44">
        <f>_xlfn.ISOWEEKNUM(Таблица163[[#This Row],[Дата  составления  B\L Морского Судна]])</f>
        <v>10</v>
      </c>
      <c r="N34" s="52" t="str">
        <f>TEXT(Таблица163[[#This Row],[Дата  составления  B\L Морского Судна]],"МММ")</f>
        <v>мар</v>
      </c>
      <c r="O34" s="44">
        <f>YEAR(Таблица163[[#This Row],[Дата  составления  B\L Морского Судна]])</f>
        <v>2026</v>
      </c>
    </row>
    <row r="35" spans="1:15" x14ac:dyDescent="0.3">
      <c r="A35" s="76" t="s">
        <v>2</v>
      </c>
      <c r="B35" s="8" t="s">
        <v>40</v>
      </c>
      <c r="C35" s="8" t="s">
        <v>206</v>
      </c>
      <c r="D35" s="12">
        <v>4034.2849999999999</v>
      </c>
      <c r="E35" s="48" t="s">
        <v>26</v>
      </c>
      <c r="F35" s="18"/>
      <c r="G35" s="18"/>
      <c r="H35" s="48" t="s">
        <v>179</v>
      </c>
      <c r="I35" s="22">
        <v>46087</v>
      </c>
      <c r="J35" s="12" t="s">
        <v>46</v>
      </c>
      <c r="K35" s="97" t="s">
        <v>181</v>
      </c>
      <c r="L35" s="78"/>
      <c r="M35" s="44">
        <f>_xlfn.ISOWEEKNUM(Таблица163[[#This Row],[Дата  составления  B\L Морского Судна]])</f>
        <v>10</v>
      </c>
      <c r="N35" s="52" t="str">
        <f>TEXT(Таблица163[[#This Row],[Дата  составления  B\L Морского Судна]],"МММ")</f>
        <v>мар</v>
      </c>
      <c r="O35" s="44">
        <f>YEAR(Таблица163[[#This Row],[Дата  составления  B\L Морского Судна]])</f>
        <v>2026</v>
      </c>
    </row>
    <row r="36" spans="1:15" x14ac:dyDescent="0.3">
      <c r="A36" s="76" t="s">
        <v>5</v>
      </c>
      <c r="B36" s="8" t="s">
        <v>40</v>
      </c>
      <c r="C36" s="8" t="s">
        <v>206</v>
      </c>
      <c r="D36" s="12">
        <v>3299.5250000000001</v>
      </c>
      <c r="E36" s="48" t="s">
        <v>26</v>
      </c>
      <c r="F36" s="18"/>
      <c r="G36" s="18"/>
      <c r="H36" s="48" t="s">
        <v>179</v>
      </c>
      <c r="I36" s="22">
        <v>46087</v>
      </c>
      <c r="J36" s="12" t="s">
        <v>46</v>
      </c>
      <c r="K36" s="97" t="s">
        <v>182</v>
      </c>
      <c r="L36" s="78"/>
      <c r="M36" s="44">
        <f>_xlfn.ISOWEEKNUM(Таблица163[[#This Row],[Дата  составления  B\L Морского Судна]])</f>
        <v>10</v>
      </c>
      <c r="N36" s="52" t="str">
        <f>TEXT(Таблица163[[#This Row],[Дата  составления  B\L Морского Судна]],"МММ")</f>
        <v>мар</v>
      </c>
      <c r="O36" s="44">
        <f>YEAR(Таблица163[[#This Row],[Дата  составления  B\L Морского Судна]])</f>
        <v>2026</v>
      </c>
    </row>
    <row r="37" spans="1:15" x14ac:dyDescent="0.3">
      <c r="A37" s="76" t="s">
        <v>5</v>
      </c>
      <c r="B37" s="8" t="s">
        <v>40</v>
      </c>
      <c r="C37" s="8" t="s">
        <v>206</v>
      </c>
      <c r="D37" s="12">
        <v>3008.0459999999998</v>
      </c>
      <c r="E37" s="48" t="s">
        <v>26</v>
      </c>
      <c r="F37" s="18"/>
      <c r="G37" s="18"/>
      <c r="H37" s="48" t="s">
        <v>179</v>
      </c>
      <c r="I37" s="22">
        <v>46087</v>
      </c>
      <c r="J37" s="12" t="s">
        <v>46</v>
      </c>
      <c r="K37" s="77" t="s">
        <v>184</v>
      </c>
      <c r="L37" s="78"/>
      <c r="M37" s="44">
        <f>_xlfn.ISOWEEKNUM(Таблица163[[#This Row],[Дата  составления  B\L Морского Судна]])</f>
        <v>10</v>
      </c>
      <c r="N37" s="52" t="str">
        <f>TEXT(Таблица163[[#This Row],[Дата  составления  B\L Морского Судна]],"МММ")</f>
        <v>мар</v>
      </c>
      <c r="O37" s="44">
        <f>YEAR(Таблица163[[#This Row],[Дата  составления  B\L Морского Судна]])</f>
        <v>2026</v>
      </c>
    </row>
    <row r="38" spans="1:15" x14ac:dyDescent="0.3">
      <c r="A38" s="76" t="s">
        <v>6</v>
      </c>
      <c r="B38" s="8" t="s">
        <v>40</v>
      </c>
      <c r="C38" s="8" t="s">
        <v>206</v>
      </c>
      <c r="D38" s="12">
        <v>3080.8</v>
      </c>
      <c r="E38" s="48" t="s">
        <v>26</v>
      </c>
      <c r="F38" s="18"/>
      <c r="G38" s="18"/>
      <c r="H38" s="48" t="s">
        <v>179</v>
      </c>
      <c r="I38" s="22">
        <v>46087</v>
      </c>
      <c r="J38" s="12" t="s">
        <v>46</v>
      </c>
      <c r="K38" s="77" t="s">
        <v>183</v>
      </c>
      <c r="L38" s="78"/>
      <c r="M38" s="44">
        <f>_xlfn.ISOWEEKNUM(Таблица163[[#This Row],[Дата  составления  B\L Морского Судна]])</f>
        <v>10</v>
      </c>
      <c r="N38" s="52" t="str">
        <f>TEXT(Таблица163[[#This Row],[Дата  составления  B\L Морского Судна]],"МММ")</f>
        <v>мар</v>
      </c>
      <c r="O38" s="44">
        <f>YEAR(Таблица163[[#This Row],[Дата  составления  B\L Морского Судна]])</f>
        <v>2026</v>
      </c>
    </row>
    <row r="39" spans="1:15" x14ac:dyDescent="0.3">
      <c r="A39" s="76" t="s">
        <v>7</v>
      </c>
      <c r="B39" s="8" t="s">
        <v>40</v>
      </c>
      <c r="C39" s="8" t="s">
        <v>205</v>
      </c>
      <c r="D39" s="12">
        <v>3235.8980000000001</v>
      </c>
      <c r="E39" s="48"/>
      <c r="F39" s="18"/>
      <c r="G39" s="18"/>
      <c r="H39" s="48" t="s">
        <v>179</v>
      </c>
      <c r="I39" s="22">
        <v>46087</v>
      </c>
      <c r="J39" s="12" t="s">
        <v>46</v>
      </c>
      <c r="K39" s="77" t="s">
        <v>185</v>
      </c>
      <c r="L39" s="78"/>
      <c r="M39" s="44">
        <f>_xlfn.ISOWEEKNUM(Таблица163[[#This Row],[Дата  составления  B\L Морского Судна]])</f>
        <v>10</v>
      </c>
      <c r="N39" s="52" t="str">
        <f>TEXT(Таблица163[[#This Row],[Дата  составления  B\L Морского Судна]],"МММ")</f>
        <v>мар</v>
      </c>
      <c r="O39" s="44">
        <f>YEAR(Таблица163[[#This Row],[Дата  составления  B\L Морского Судна]])</f>
        <v>2026</v>
      </c>
    </row>
    <row r="40" spans="1:15" x14ac:dyDescent="0.3">
      <c r="A40" s="76" t="s">
        <v>2</v>
      </c>
      <c r="B40" s="8" t="s">
        <v>40</v>
      </c>
      <c r="C40" s="8" t="s">
        <v>205</v>
      </c>
      <c r="D40" s="12">
        <v>3684.5790000000002</v>
      </c>
      <c r="E40" s="48"/>
      <c r="F40" s="18"/>
      <c r="G40" s="18"/>
      <c r="H40" s="48" t="s">
        <v>179</v>
      </c>
      <c r="I40" s="22">
        <v>46087</v>
      </c>
      <c r="J40" s="12" t="s">
        <v>46</v>
      </c>
      <c r="K40" s="77" t="s">
        <v>186</v>
      </c>
      <c r="L40" s="78"/>
      <c r="M40" s="44">
        <f>_xlfn.ISOWEEKNUM(Таблица163[[#This Row],[Дата  составления  B\L Морского Судна]])</f>
        <v>10</v>
      </c>
      <c r="N40" s="52" t="str">
        <f>TEXT(Таблица163[[#This Row],[Дата  составления  B\L Морского Судна]],"МММ")</f>
        <v>мар</v>
      </c>
      <c r="O40" s="44">
        <f>YEAR(Таблица163[[#This Row],[Дата  составления  B\L Морского Судна]])</f>
        <v>2026</v>
      </c>
    </row>
    <row r="41" spans="1:15" x14ac:dyDescent="0.3">
      <c r="A41" s="76" t="s">
        <v>64</v>
      </c>
      <c r="B41" s="8" t="s">
        <v>40</v>
      </c>
      <c r="C41" s="8" t="s">
        <v>205</v>
      </c>
      <c r="D41" s="12">
        <v>4268.1030000000001</v>
      </c>
      <c r="E41" s="48"/>
      <c r="F41" s="18"/>
      <c r="G41" s="18"/>
      <c r="H41" s="48" t="s">
        <v>179</v>
      </c>
      <c r="I41" s="22">
        <v>46087</v>
      </c>
      <c r="J41" s="12" t="s">
        <v>46</v>
      </c>
      <c r="K41" s="77" t="s">
        <v>187</v>
      </c>
      <c r="L41" s="78"/>
      <c r="M41" s="44">
        <f>_xlfn.ISOWEEKNUM(Таблица163[[#This Row],[Дата  составления  B\L Морского Судна]])</f>
        <v>10</v>
      </c>
      <c r="N41" s="52" t="str">
        <f>TEXT(Таблица163[[#This Row],[Дата  составления  B\L Морского Судна]],"МММ")</f>
        <v>мар</v>
      </c>
      <c r="O41" s="44">
        <f>YEAR(Таблица163[[#This Row],[Дата  составления  B\L Морского Судна]])</f>
        <v>2026</v>
      </c>
    </row>
    <row r="42" spans="1:15" x14ac:dyDescent="0.3">
      <c r="A42" s="76" t="s">
        <v>176</v>
      </c>
      <c r="B42" s="8" t="s">
        <v>40</v>
      </c>
      <c r="C42" s="8" t="s">
        <v>205</v>
      </c>
      <c r="D42" s="12">
        <v>2800.0630000000001</v>
      </c>
      <c r="E42" s="48"/>
      <c r="F42" s="18"/>
      <c r="G42" s="18"/>
      <c r="H42" s="48" t="s">
        <v>179</v>
      </c>
      <c r="I42" s="22">
        <v>46087</v>
      </c>
      <c r="J42" s="12" t="s">
        <v>46</v>
      </c>
      <c r="K42" s="97" t="s">
        <v>188</v>
      </c>
      <c r="L42" s="78"/>
      <c r="M42" s="44">
        <f>_xlfn.ISOWEEKNUM(Таблица163[[#This Row],[Дата  составления  B\L Морского Судна]])</f>
        <v>10</v>
      </c>
      <c r="N42" s="52" t="str">
        <f>TEXT(Таблица163[[#This Row],[Дата  составления  B\L Морского Судна]],"МММ")</f>
        <v>мар</v>
      </c>
      <c r="O42" s="44">
        <f>YEAR(Таблица163[[#This Row],[Дата  составления  B\L Морского Судна]])</f>
        <v>2026</v>
      </c>
    </row>
    <row r="43" spans="1:15" x14ac:dyDescent="0.3">
      <c r="A43" s="76" t="s">
        <v>5</v>
      </c>
      <c r="B43" s="8" t="s">
        <v>40</v>
      </c>
      <c r="C43" s="8" t="s">
        <v>205</v>
      </c>
      <c r="D43" s="12">
        <v>3300.1390000000001</v>
      </c>
      <c r="E43" s="48"/>
      <c r="F43" s="18"/>
      <c r="G43" s="18"/>
      <c r="H43" s="48" t="s">
        <v>27</v>
      </c>
      <c r="I43" s="22">
        <v>46098</v>
      </c>
      <c r="J43" s="12" t="s">
        <v>46</v>
      </c>
      <c r="K43" s="77" t="s">
        <v>194</v>
      </c>
      <c r="L43" s="78"/>
      <c r="M43" s="44">
        <f>_xlfn.ISOWEEKNUM(Таблица163[[#This Row],[Дата  составления  B\L Морского Судна]])</f>
        <v>12</v>
      </c>
      <c r="N43" s="52" t="str">
        <f>TEXT(Таблица163[[#This Row],[Дата  составления  B\L Морского Судна]],"МММ")</f>
        <v>мар</v>
      </c>
      <c r="O43" s="44">
        <f>YEAR(Таблица163[[#This Row],[Дата  составления  B\L Морского Судна]])</f>
        <v>2026</v>
      </c>
    </row>
    <row r="44" spans="1:15" x14ac:dyDescent="0.3">
      <c r="A44" s="76" t="s">
        <v>4</v>
      </c>
      <c r="B44" s="8" t="s">
        <v>40</v>
      </c>
      <c r="C44" s="8" t="s">
        <v>205</v>
      </c>
      <c r="D44" s="12">
        <v>4009.127</v>
      </c>
      <c r="E44" s="48"/>
      <c r="F44" s="18"/>
      <c r="G44" s="18"/>
      <c r="H44" s="48" t="s">
        <v>27</v>
      </c>
      <c r="I44" s="22">
        <v>46098</v>
      </c>
      <c r="J44" s="12" t="s">
        <v>46</v>
      </c>
      <c r="K44" s="77" t="s">
        <v>195</v>
      </c>
      <c r="L44" s="78"/>
      <c r="M44" s="44">
        <f>_xlfn.ISOWEEKNUM(Таблица163[[#This Row],[Дата  составления  B\L Морского Судна]])</f>
        <v>12</v>
      </c>
      <c r="N44" s="52" t="str">
        <f>TEXT(Таблица163[[#This Row],[Дата  составления  B\L Морского Судна]],"МММ")</f>
        <v>мар</v>
      </c>
      <c r="O44" s="44">
        <f>YEAR(Таблица163[[#This Row],[Дата  составления  B\L Морского Судна]])</f>
        <v>2026</v>
      </c>
    </row>
    <row r="45" spans="1:15" x14ac:dyDescent="0.3">
      <c r="A45" s="76" t="s">
        <v>173</v>
      </c>
      <c r="B45" s="8" t="s">
        <v>40</v>
      </c>
      <c r="C45" s="8" t="s">
        <v>205</v>
      </c>
      <c r="D45" s="12">
        <v>2879.7809999999999</v>
      </c>
      <c r="E45" s="48"/>
      <c r="F45" s="18"/>
      <c r="G45" s="18"/>
      <c r="H45" s="48" t="s">
        <v>27</v>
      </c>
      <c r="I45" s="22">
        <v>46098</v>
      </c>
      <c r="J45" s="12" t="s">
        <v>46</v>
      </c>
      <c r="K45" s="77" t="s">
        <v>196</v>
      </c>
      <c r="L45" s="78"/>
      <c r="M45" s="44">
        <f>_xlfn.ISOWEEKNUM(Таблица163[[#This Row],[Дата  составления  B\L Морского Судна]])</f>
        <v>12</v>
      </c>
      <c r="N45" s="52" t="str">
        <f>TEXT(Таблица163[[#This Row],[Дата  составления  B\L Морского Судна]],"МММ")</f>
        <v>мар</v>
      </c>
      <c r="O45" s="44">
        <f>YEAR(Таблица163[[#This Row],[Дата  составления  B\L Морского Судна]])</f>
        <v>2026</v>
      </c>
    </row>
    <row r="46" spans="1:15" x14ac:dyDescent="0.3">
      <c r="A46" s="76" t="s">
        <v>2</v>
      </c>
      <c r="B46" s="8" t="s">
        <v>40</v>
      </c>
      <c r="C46" s="8" t="s">
        <v>205</v>
      </c>
      <c r="D46" s="12">
        <v>317.01900000000001</v>
      </c>
      <c r="E46" s="48"/>
      <c r="F46" s="18"/>
      <c r="G46" s="18"/>
      <c r="H46" s="48" t="s">
        <v>27</v>
      </c>
      <c r="I46" s="22">
        <v>46098</v>
      </c>
      <c r="J46" s="12" t="s">
        <v>46</v>
      </c>
      <c r="K46" s="77" t="s">
        <v>186</v>
      </c>
      <c r="L46" s="78"/>
      <c r="M46" s="44">
        <f>_xlfn.ISOWEEKNUM(Таблица163[[#This Row],[Дата  составления  B\L Морского Судна]])</f>
        <v>12</v>
      </c>
      <c r="N46" s="52" t="str">
        <f>TEXT(Таблица163[[#This Row],[Дата  составления  B\L Морского Судна]],"МММ")</f>
        <v>мар</v>
      </c>
      <c r="O46" s="44">
        <f>YEAR(Таблица163[[#This Row],[Дата  составления  B\L Морского Судна]])</f>
        <v>2026</v>
      </c>
    </row>
    <row r="47" spans="1:15" x14ac:dyDescent="0.3">
      <c r="A47" s="76" t="s">
        <v>177</v>
      </c>
      <c r="B47" s="8" t="s">
        <v>40</v>
      </c>
      <c r="C47" s="8" t="s">
        <v>205</v>
      </c>
      <c r="D47" s="12">
        <v>4350.0519999999997</v>
      </c>
      <c r="E47" s="48"/>
      <c r="F47" s="18"/>
      <c r="G47" s="18"/>
      <c r="H47" s="48" t="s">
        <v>27</v>
      </c>
      <c r="I47" s="22">
        <v>46098</v>
      </c>
      <c r="J47" s="12" t="s">
        <v>46</v>
      </c>
      <c r="K47" s="97" t="s">
        <v>197</v>
      </c>
      <c r="L47" s="78"/>
      <c r="M47" s="44">
        <f>_xlfn.ISOWEEKNUM(Таблица163[[#This Row],[Дата  составления  B\L Морского Судна]])</f>
        <v>12</v>
      </c>
      <c r="N47" s="52" t="str">
        <f>TEXT(Таблица163[[#This Row],[Дата  составления  B\L Морского Судна]],"МММ")</f>
        <v>мар</v>
      </c>
      <c r="O47" s="44">
        <f>YEAR(Таблица163[[#This Row],[Дата  составления  B\L Морского Судна]])</f>
        <v>2026</v>
      </c>
    </row>
    <row r="48" spans="1:15" x14ac:dyDescent="0.3">
      <c r="A48" s="76" t="s">
        <v>7</v>
      </c>
      <c r="B48" s="8" t="s">
        <v>40</v>
      </c>
      <c r="C48" s="8" t="s">
        <v>205</v>
      </c>
      <c r="D48" s="12">
        <v>3235.3789999999999</v>
      </c>
      <c r="E48" s="48"/>
      <c r="F48" s="18"/>
      <c r="G48" s="18"/>
      <c r="H48" s="48" t="s">
        <v>27</v>
      </c>
      <c r="I48" s="22">
        <v>46098</v>
      </c>
      <c r="J48" s="12" t="s">
        <v>46</v>
      </c>
      <c r="K48" s="77" t="s">
        <v>198</v>
      </c>
      <c r="L48" s="78"/>
      <c r="M48" s="44">
        <f>_xlfn.ISOWEEKNUM(Таблица163[[#This Row],[Дата  составления  B\L Морского Судна]])</f>
        <v>12</v>
      </c>
      <c r="N48" s="52" t="str">
        <f>TEXT(Таблица163[[#This Row],[Дата  составления  B\L Морского Судна]],"МММ")</f>
        <v>мар</v>
      </c>
      <c r="O48" s="44">
        <f>YEAR(Таблица163[[#This Row],[Дата  составления  B\L Морского Судна]])</f>
        <v>2026</v>
      </c>
    </row>
    <row r="49" spans="1:15" x14ac:dyDescent="0.3">
      <c r="A49" s="76" t="s">
        <v>63</v>
      </c>
      <c r="B49" s="8" t="s">
        <v>40</v>
      </c>
      <c r="C49" s="8" t="s">
        <v>205</v>
      </c>
      <c r="D49" s="12">
        <v>4600.24</v>
      </c>
      <c r="E49" s="48"/>
      <c r="F49" s="18"/>
      <c r="G49" s="18"/>
      <c r="H49" s="48" t="s">
        <v>27</v>
      </c>
      <c r="I49" s="22">
        <v>46098</v>
      </c>
      <c r="J49" s="12" t="s">
        <v>46</v>
      </c>
      <c r="K49" s="77" t="s">
        <v>199</v>
      </c>
      <c r="L49" s="78"/>
      <c r="M49" s="44">
        <f>_xlfn.ISOWEEKNUM(Таблица163[[#This Row],[Дата  составления  B\L Морского Судна]])</f>
        <v>12</v>
      </c>
      <c r="N49" s="52" t="str">
        <f>TEXT(Таблица163[[#This Row],[Дата  составления  B\L Морского Судна]],"МММ")</f>
        <v>мар</v>
      </c>
      <c r="O49" s="44">
        <f>YEAR(Таблица163[[#This Row],[Дата  составления  B\L Морского Судна]])</f>
        <v>2026</v>
      </c>
    </row>
    <row r="50" spans="1:15" x14ac:dyDescent="0.3">
      <c r="A50" s="76" t="s">
        <v>175</v>
      </c>
      <c r="B50" s="8" t="s">
        <v>40</v>
      </c>
      <c r="C50" s="8" t="s">
        <v>205</v>
      </c>
      <c r="D50" s="12">
        <v>3725.46</v>
      </c>
      <c r="E50" s="48"/>
      <c r="F50" s="18"/>
      <c r="G50" s="18"/>
      <c r="H50" s="48" t="s">
        <v>27</v>
      </c>
      <c r="I50" s="22">
        <v>46098</v>
      </c>
      <c r="J50" s="12" t="s">
        <v>46</v>
      </c>
      <c r="K50" s="77" t="s">
        <v>200</v>
      </c>
      <c r="L50" s="78"/>
      <c r="M50" s="44">
        <f>_xlfn.ISOWEEKNUM(Таблица163[[#This Row],[Дата  составления  B\L Морского Судна]])</f>
        <v>12</v>
      </c>
      <c r="N50" s="52" t="str">
        <f>TEXT(Таблица163[[#This Row],[Дата  составления  B\L Морского Судна]],"МММ")</f>
        <v>мар</v>
      </c>
      <c r="O50" s="44">
        <f>YEAR(Таблица163[[#This Row],[Дата  составления  B\L Морского Судна]])</f>
        <v>2026</v>
      </c>
    </row>
    <row r="51" spans="1:15" x14ac:dyDescent="0.3">
      <c r="A51" s="76" t="s">
        <v>176</v>
      </c>
      <c r="B51" s="8" t="s">
        <v>40</v>
      </c>
      <c r="C51" s="8" t="s">
        <v>205</v>
      </c>
      <c r="D51" s="12">
        <v>2802.13</v>
      </c>
      <c r="E51" s="48"/>
      <c r="F51" s="18"/>
      <c r="G51" s="18"/>
      <c r="H51" s="48" t="s">
        <v>27</v>
      </c>
      <c r="I51" s="22">
        <v>46098</v>
      </c>
      <c r="J51" s="12" t="s">
        <v>46</v>
      </c>
      <c r="K51" s="97" t="s">
        <v>201</v>
      </c>
      <c r="L51" s="78"/>
      <c r="M51" s="44">
        <f>_xlfn.ISOWEEKNUM(Таблица163[[#This Row],[Дата  составления  B\L Морского Судна]])</f>
        <v>12</v>
      </c>
      <c r="N51" s="52" t="str">
        <f>TEXT(Таблица163[[#This Row],[Дата  составления  B\L Морского Судна]],"МММ")</f>
        <v>мар</v>
      </c>
      <c r="O51" s="44">
        <f>YEAR(Таблица163[[#This Row],[Дата  составления  B\L Морского Судна]])</f>
        <v>2026</v>
      </c>
    </row>
    <row r="52" spans="1:15" x14ac:dyDescent="0.3">
      <c r="A52" s="76" t="s">
        <v>23</v>
      </c>
      <c r="B52" s="8" t="s">
        <v>40</v>
      </c>
      <c r="C52" s="8" t="s">
        <v>205</v>
      </c>
      <c r="D52" s="12">
        <v>4751.2169999999996</v>
      </c>
      <c r="E52" s="48"/>
      <c r="F52" s="18"/>
      <c r="G52" s="18"/>
      <c r="H52" s="48" t="s">
        <v>27</v>
      </c>
      <c r="I52" s="22">
        <v>46098</v>
      </c>
      <c r="J52" s="12" t="s">
        <v>46</v>
      </c>
      <c r="K52" s="97" t="s">
        <v>202</v>
      </c>
      <c r="L52" s="78"/>
      <c r="M52" s="44">
        <f>_xlfn.ISOWEEKNUM(Таблица163[[#This Row],[Дата  составления  B\L Морского Судна]])</f>
        <v>12</v>
      </c>
      <c r="N52" s="52" t="str">
        <f>TEXT(Таблица163[[#This Row],[Дата  составления  B\L Морского Судна]],"МММ")</f>
        <v>мар</v>
      </c>
      <c r="O52" s="44">
        <f>YEAR(Таблица163[[#This Row],[Дата  составления  B\L Морского Судна]])</f>
        <v>2026</v>
      </c>
    </row>
    <row r="53" spans="1:15" x14ac:dyDescent="0.3">
      <c r="A53" s="76" t="s">
        <v>4</v>
      </c>
      <c r="B53" s="8" t="s">
        <v>40</v>
      </c>
      <c r="C53" s="8" t="s">
        <v>205</v>
      </c>
      <c r="D53" s="12">
        <v>2727.51</v>
      </c>
      <c r="E53" s="48"/>
      <c r="F53" s="18"/>
      <c r="G53" s="18"/>
      <c r="H53" s="48" t="s">
        <v>27</v>
      </c>
      <c r="I53" s="22">
        <v>46098</v>
      </c>
      <c r="J53" s="12" t="s">
        <v>46</v>
      </c>
      <c r="K53" s="77" t="s">
        <v>203</v>
      </c>
      <c r="L53" s="78"/>
      <c r="M53" s="44">
        <f>_xlfn.ISOWEEKNUM(Таблица163[[#This Row],[Дата  составления  B\L Морского Судна]])</f>
        <v>12</v>
      </c>
      <c r="N53" s="52" t="str">
        <f>TEXT(Таблица163[[#This Row],[Дата  составления  B\L Морского Судна]],"МММ")</f>
        <v>мар</v>
      </c>
      <c r="O53" s="44">
        <f>YEAR(Таблица163[[#This Row],[Дата  составления  B\L Морского Судна]])</f>
        <v>2026</v>
      </c>
    </row>
    <row r="54" spans="1:15" x14ac:dyDescent="0.3">
      <c r="A54" s="76" t="s">
        <v>5</v>
      </c>
      <c r="B54" s="8" t="s">
        <v>40</v>
      </c>
      <c r="C54" s="8" t="s">
        <v>205</v>
      </c>
      <c r="D54" s="12">
        <v>3301.9459999999999</v>
      </c>
      <c r="E54" s="48"/>
      <c r="F54" s="18"/>
      <c r="G54" s="18"/>
      <c r="H54" s="48" t="s">
        <v>27</v>
      </c>
      <c r="I54" s="22">
        <v>46098</v>
      </c>
      <c r="J54" s="12" t="s">
        <v>46</v>
      </c>
      <c r="K54" s="97" t="s">
        <v>204</v>
      </c>
      <c r="L54" s="78"/>
      <c r="M54" s="44">
        <f>_xlfn.ISOWEEKNUM(Таблица163[[#This Row],[Дата  составления  B\L Морского Судна]])</f>
        <v>12</v>
      </c>
      <c r="N54" s="52" t="str">
        <f>TEXT(Таблица163[[#This Row],[Дата  составления  B\L Морского Судна]],"МММ")</f>
        <v>мар</v>
      </c>
      <c r="O54" s="44">
        <f>YEAR(Таблица163[[#This Row],[Дата  составления  B\L Морского Судна]])</f>
        <v>2026</v>
      </c>
    </row>
    <row r="55" spans="1:15" x14ac:dyDescent="0.3">
      <c r="A55" s="76" t="s">
        <v>2</v>
      </c>
      <c r="B55" s="8" t="s">
        <v>40</v>
      </c>
      <c r="C55" s="8" t="s">
        <v>206</v>
      </c>
      <c r="D55" s="12">
        <v>4019.038</v>
      </c>
      <c r="E55" s="48"/>
      <c r="F55" s="18"/>
      <c r="G55" s="18"/>
      <c r="H55" s="48" t="s">
        <v>114</v>
      </c>
      <c r="I55" s="22">
        <v>46108</v>
      </c>
      <c r="J55" s="12" t="s">
        <v>46</v>
      </c>
      <c r="K55" s="77" t="s">
        <v>212</v>
      </c>
      <c r="L55" s="78"/>
      <c r="M55" s="44">
        <f>_xlfn.ISOWEEKNUM(Таблица163[[#This Row],[Дата  составления  B\L Морского Судна]])</f>
        <v>13</v>
      </c>
      <c r="N55" s="52" t="str">
        <f>TEXT(Таблица163[[#This Row],[Дата  составления  B\L Морского Судна]],"МММ")</f>
        <v>мар</v>
      </c>
      <c r="O55" s="44">
        <f>YEAR(Таблица163[[#This Row],[Дата  составления  B\L Морского Судна]])</f>
        <v>2026</v>
      </c>
    </row>
    <row r="56" spans="1:15" x14ac:dyDescent="0.3">
      <c r="A56" s="76" t="s">
        <v>4</v>
      </c>
      <c r="B56" s="8" t="s">
        <v>40</v>
      </c>
      <c r="C56" s="8" t="s">
        <v>206</v>
      </c>
      <c r="D56" s="12">
        <v>1287.9169999999999</v>
      </c>
      <c r="E56" s="48"/>
      <c r="F56" s="18"/>
      <c r="G56" s="18"/>
      <c r="H56" s="48" t="s">
        <v>114</v>
      </c>
      <c r="I56" s="22">
        <v>46108</v>
      </c>
      <c r="J56" s="12" t="s">
        <v>46</v>
      </c>
      <c r="K56" s="77" t="s">
        <v>203</v>
      </c>
      <c r="L56" s="78"/>
      <c r="M56" s="44">
        <f>_xlfn.ISOWEEKNUM(Таблица163[[#This Row],[Дата  составления  B\L Морского Судна]])</f>
        <v>13</v>
      </c>
      <c r="N56" s="52" t="str">
        <f>TEXT(Таблица163[[#This Row],[Дата  составления  B\L Морского Судна]],"МММ")</f>
        <v>мар</v>
      </c>
      <c r="O56" s="44">
        <f>YEAR(Таблица163[[#This Row],[Дата  составления  B\L Морского Судна]])</f>
        <v>2026</v>
      </c>
    </row>
    <row r="57" spans="1:15" x14ac:dyDescent="0.3">
      <c r="A57" s="76" t="s">
        <v>191</v>
      </c>
      <c r="B57" s="8" t="s">
        <v>40</v>
      </c>
      <c r="C57" s="8" t="s">
        <v>206</v>
      </c>
      <c r="D57" s="12">
        <v>4610.7539999999999</v>
      </c>
      <c r="E57" s="48"/>
      <c r="F57" s="18"/>
      <c r="G57" s="18"/>
      <c r="H57" s="48" t="s">
        <v>114</v>
      </c>
      <c r="I57" s="22">
        <v>46108</v>
      </c>
      <c r="J57" s="12" t="s">
        <v>46</v>
      </c>
      <c r="K57" s="77" t="s">
        <v>213</v>
      </c>
      <c r="L57" s="78"/>
      <c r="M57" s="44">
        <f>_xlfn.ISOWEEKNUM(Таблица163[[#This Row],[Дата  составления  B\L Морского Судна]])</f>
        <v>13</v>
      </c>
      <c r="N57" s="52" t="str">
        <f>TEXT(Таблица163[[#This Row],[Дата  составления  B\L Морского Судна]],"МММ")</f>
        <v>мар</v>
      </c>
      <c r="O57" s="44">
        <f>YEAR(Таблица163[[#This Row],[Дата  составления  B\L Морского Судна]])</f>
        <v>2026</v>
      </c>
    </row>
    <row r="58" spans="1:15" x14ac:dyDescent="0.3">
      <c r="A58" s="76" t="s">
        <v>175</v>
      </c>
      <c r="B58" s="8" t="s">
        <v>40</v>
      </c>
      <c r="C58" s="8" t="s">
        <v>206</v>
      </c>
      <c r="D58" s="12">
        <v>3700.7159999999999</v>
      </c>
      <c r="E58" s="48"/>
      <c r="F58" s="18"/>
      <c r="G58" s="18"/>
      <c r="H58" s="48" t="s">
        <v>114</v>
      </c>
      <c r="I58" s="22">
        <v>46108</v>
      </c>
      <c r="J58" s="12" t="s">
        <v>46</v>
      </c>
      <c r="K58" s="77" t="s">
        <v>214</v>
      </c>
      <c r="L58" s="78"/>
      <c r="M58" s="44">
        <f>_xlfn.ISOWEEKNUM(Таблица163[[#This Row],[Дата  составления  B\L Морского Судна]])</f>
        <v>13</v>
      </c>
      <c r="N58" s="52" t="str">
        <f>TEXT(Таблица163[[#This Row],[Дата  составления  B\L Морского Судна]],"МММ")</f>
        <v>мар</v>
      </c>
      <c r="O58" s="44">
        <f>YEAR(Таблица163[[#This Row],[Дата  составления  B\L Морского Судна]])</f>
        <v>2026</v>
      </c>
    </row>
    <row r="59" spans="1:15" x14ac:dyDescent="0.3">
      <c r="A59" s="76" t="s">
        <v>176</v>
      </c>
      <c r="B59" s="8" t="s">
        <v>40</v>
      </c>
      <c r="C59" s="8" t="s">
        <v>206</v>
      </c>
      <c r="D59" s="12">
        <v>2800.1619999999998</v>
      </c>
      <c r="E59" s="48"/>
      <c r="F59" s="18"/>
      <c r="G59" s="18"/>
      <c r="H59" s="48" t="s">
        <v>114</v>
      </c>
      <c r="I59" s="22">
        <v>46108</v>
      </c>
      <c r="J59" s="12" t="s">
        <v>46</v>
      </c>
      <c r="K59" s="77" t="s">
        <v>215</v>
      </c>
      <c r="L59" s="78"/>
      <c r="M59" s="44">
        <f>_xlfn.ISOWEEKNUM(Таблица163[[#This Row],[Дата  составления  B\L Морского Судна]])</f>
        <v>13</v>
      </c>
      <c r="N59" s="52" t="str">
        <f>TEXT(Таблица163[[#This Row],[Дата  составления  B\L Морского Судна]],"МММ")</f>
        <v>мар</v>
      </c>
      <c r="O59" s="44">
        <f>YEAR(Таблица163[[#This Row],[Дата  составления  B\L Морского Судна]])</f>
        <v>2026</v>
      </c>
    </row>
    <row r="60" spans="1:15" x14ac:dyDescent="0.3">
      <c r="A60" s="76" t="s">
        <v>23</v>
      </c>
      <c r="B60" s="8" t="s">
        <v>40</v>
      </c>
      <c r="C60" s="8" t="s">
        <v>206</v>
      </c>
      <c r="D60" s="12">
        <v>2564.6990000000001</v>
      </c>
      <c r="E60" s="48"/>
      <c r="F60" s="18"/>
      <c r="G60" s="18"/>
      <c r="H60" s="48" t="s">
        <v>114</v>
      </c>
      <c r="I60" s="22">
        <v>46108</v>
      </c>
      <c r="J60" s="12" t="s">
        <v>46</v>
      </c>
      <c r="K60" s="77" t="s">
        <v>216</v>
      </c>
      <c r="L60" s="78"/>
      <c r="M60" s="44">
        <f>_xlfn.ISOWEEKNUM(Таблица163[[#This Row],[Дата  составления  B\L Морского Судна]])</f>
        <v>13</v>
      </c>
      <c r="N60" s="52" t="str">
        <f>TEXT(Таблица163[[#This Row],[Дата  составления  B\L Морского Судна]],"МММ")</f>
        <v>мар</v>
      </c>
      <c r="O60" s="44">
        <f>YEAR(Таблица163[[#This Row],[Дата  составления  B\L Морского Судна]])</f>
        <v>2026</v>
      </c>
    </row>
    <row r="61" spans="1:15" x14ac:dyDescent="0.3">
      <c r="G61" t="s">
        <v>106</v>
      </c>
    </row>
  </sheetData>
  <pageMargins left="0.7" right="0.7" top="0.75" bottom="0.75" header="0.3" footer="0.3"/>
  <pageSetup paperSize="9" orientation="portrait" r:id="rId1"/>
  <ignoredErrors>
    <ignoredError sqref="K8:K60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Список!$G$1:$G$2</xm:f>
          </x14:formula1>
          <xm:sqref>E8:E60</xm:sqref>
        </x14:dataValidation>
        <x14:dataValidation type="list" allowBlank="1" showInputMessage="1" showErrorMessage="1">
          <x14:formula1>
            <xm:f>Список!$C$1:$C$15</xm:f>
          </x14:formula1>
          <xm:sqref>A8:A41 A62:A1048576</xm:sqref>
        </x14:dataValidation>
        <x14:dataValidation type="list" allowBlank="1" showInputMessage="1" showErrorMessage="1">
          <x14:formula1>
            <xm:f>Список!$C$1:$C$21</xm:f>
          </x14:formula1>
          <xm:sqref>A42:A60</xm:sqref>
        </x14:dataValidation>
        <x14:dataValidation type="list" allowBlank="1" showInputMessage="1" showErrorMessage="1">
          <x14:formula1>
            <xm:f>Список!$C$1:$C$22</xm:f>
          </x14:formula1>
          <xm:sqref>A61</xm:sqref>
        </x14:dataValidation>
        <x14:dataValidation type="list" allowBlank="1" showInputMessage="1" showErrorMessage="1">
          <x14:formula1>
            <xm:f>Список!$H$1:$H$4</xm:f>
          </x14:formula1>
          <xm:sqref>C8:C1048576</xm:sqref>
        </x14:dataValidation>
        <x14:dataValidation type="list" allowBlank="1" showInputMessage="1" showErrorMessage="1">
          <x14:formula1>
            <xm:f>Список!$D$1:$D$10</xm:f>
          </x14:formula1>
          <xm:sqref>H8:H1048576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8:I61"/>
  <sheetViews>
    <sheetView tabSelected="1" workbookViewId="0">
      <selection activeCell="C20" sqref="C9:C60"/>
      <pivotSelection pane="bottomRight" showHeader="1" axis="axisRow" dimension="1" activeRow="19" activeCol="2" previousRow="19" previousCol="2" click="1" r:id="rId1">
        <pivotArea dataOnly="0" labelOnly="1" outline="0" fieldPosition="0">
          <references count="1">
            <reference field="6" count="0"/>
          </references>
        </pivotArea>
      </pivotSelection>
    </sheetView>
  </sheetViews>
  <sheetFormatPr defaultRowHeight="14.4" x14ac:dyDescent="0.3"/>
  <cols>
    <col min="1" max="1" width="25" customWidth="1"/>
    <col min="2" max="2" width="29.33203125" customWidth="1"/>
    <col min="3" max="3" width="31.6640625" customWidth="1"/>
    <col min="4" max="4" width="32.44140625" style="29" customWidth="1"/>
    <col min="5" max="5" width="21.6640625" customWidth="1"/>
    <col min="6" max="6" width="28" customWidth="1"/>
    <col min="7" max="7" width="19.44140625" style="29" customWidth="1"/>
    <col min="8" max="8" width="16.109375" customWidth="1"/>
    <col min="9" max="9" width="12.88671875" customWidth="1"/>
    <col min="10" max="10" width="12.88671875" bestFit="1" customWidth="1"/>
    <col min="11" max="11" width="11.88671875" bestFit="1" customWidth="1"/>
  </cols>
  <sheetData>
    <row r="8" spans="2:9" ht="43.2" x14ac:dyDescent="0.3">
      <c r="B8" s="50" t="s">
        <v>121</v>
      </c>
      <c r="C8" s="50" t="s">
        <v>190</v>
      </c>
      <c r="D8" s="50" t="s">
        <v>134</v>
      </c>
      <c r="E8" s="39" t="s">
        <v>133</v>
      </c>
      <c r="F8" s="50" t="s">
        <v>189</v>
      </c>
      <c r="G8" s="41" t="s">
        <v>135</v>
      </c>
      <c r="H8" s="41" t="s">
        <v>136</v>
      </c>
      <c r="I8" s="47" t="s">
        <v>137</v>
      </c>
    </row>
    <row r="9" spans="2:9" x14ac:dyDescent="0.3">
      <c r="B9" t="s">
        <v>174</v>
      </c>
      <c r="C9" t="s">
        <v>46</v>
      </c>
      <c r="D9" s="29" t="s">
        <v>23</v>
      </c>
      <c r="E9" s="29" t="s">
        <v>217</v>
      </c>
      <c r="F9" t="s">
        <v>46</v>
      </c>
      <c r="G9" s="109">
        <v>46099</v>
      </c>
      <c r="H9">
        <v>4756.9629999999997</v>
      </c>
      <c r="I9" s="13">
        <v>2564.6990000000001</v>
      </c>
    </row>
    <row r="10" spans="2:9" x14ac:dyDescent="0.3">
      <c r="B10" t="s">
        <v>174</v>
      </c>
      <c r="C10" t="s">
        <v>46</v>
      </c>
      <c r="D10" s="29" t="s">
        <v>23</v>
      </c>
      <c r="E10" s="29" t="s">
        <v>59</v>
      </c>
      <c r="F10" t="s">
        <v>46</v>
      </c>
      <c r="G10" s="1">
        <v>46019</v>
      </c>
      <c r="H10">
        <v>4756.8789999999999</v>
      </c>
      <c r="I10" s="13">
        <v>4542.4059999999999</v>
      </c>
    </row>
    <row r="11" spans="2:9" x14ac:dyDescent="0.3">
      <c r="B11" t="s">
        <v>174</v>
      </c>
      <c r="C11" t="s">
        <v>46</v>
      </c>
      <c r="D11" s="29" t="s">
        <v>2</v>
      </c>
      <c r="E11" s="29" t="s">
        <v>59</v>
      </c>
      <c r="F11" t="s">
        <v>46</v>
      </c>
      <c r="G11" s="109">
        <v>46093</v>
      </c>
      <c r="H11">
        <v>4019.038</v>
      </c>
      <c r="I11" s="13">
        <v>4019.038</v>
      </c>
    </row>
    <row r="12" spans="2:9" x14ac:dyDescent="0.3">
      <c r="B12" t="s">
        <v>174</v>
      </c>
      <c r="C12" t="s">
        <v>46</v>
      </c>
      <c r="D12" s="29" t="s">
        <v>2</v>
      </c>
      <c r="E12" s="29" t="s">
        <v>54</v>
      </c>
      <c r="F12" t="s">
        <v>46</v>
      </c>
      <c r="G12" s="1">
        <v>46035</v>
      </c>
      <c r="H12">
        <v>4011.3440000000001</v>
      </c>
      <c r="I12" s="13">
        <v>4011.3440000000001</v>
      </c>
    </row>
    <row r="13" spans="2:9" x14ac:dyDescent="0.3">
      <c r="B13" t="s">
        <v>174</v>
      </c>
      <c r="C13" t="s">
        <v>46</v>
      </c>
      <c r="D13" s="29" t="s">
        <v>176</v>
      </c>
      <c r="E13" s="29" t="s">
        <v>59</v>
      </c>
      <c r="F13" t="s">
        <v>46</v>
      </c>
      <c r="G13" s="109">
        <v>46096</v>
      </c>
      <c r="H13">
        <v>2800.1619999999998</v>
      </c>
      <c r="I13" s="13">
        <v>2800.1619999999998</v>
      </c>
    </row>
    <row r="14" spans="2:9" x14ac:dyDescent="0.3">
      <c r="B14" t="s">
        <v>174</v>
      </c>
      <c r="C14" t="s">
        <v>46</v>
      </c>
      <c r="D14" t="s">
        <v>63</v>
      </c>
      <c r="E14" s="29" t="s">
        <v>59</v>
      </c>
      <c r="F14" t="s">
        <v>46</v>
      </c>
      <c r="G14" s="1">
        <v>46030</v>
      </c>
      <c r="H14">
        <v>4159.9269999999997</v>
      </c>
      <c r="I14" s="13">
        <v>4159.9269999999997</v>
      </c>
    </row>
    <row r="15" spans="2:9" x14ac:dyDescent="0.3">
      <c r="B15" t="s">
        <v>174</v>
      </c>
      <c r="C15" t="s">
        <v>46</v>
      </c>
      <c r="D15" s="29" t="s">
        <v>4</v>
      </c>
      <c r="E15" t="s">
        <v>59</v>
      </c>
      <c r="F15" t="s">
        <v>46</v>
      </c>
      <c r="G15" s="109">
        <v>46092</v>
      </c>
      <c r="H15">
        <v>4015.4270000000001</v>
      </c>
      <c r="I15" s="13">
        <v>1287.9169999999999</v>
      </c>
    </row>
    <row r="16" spans="2:9" x14ac:dyDescent="0.3">
      <c r="B16" t="s">
        <v>174</v>
      </c>
      <c r="C16" t="s">
        <v>46</v>
      </c>
      <c r="D16" s="29" t="s">
        <v>4</v>
      </c>
      <c r="E16" t="s">
        <v>59</v>
      </c>
      <c r="F16" t="s">
        <v>46</v>
      </c>
      <c r="G16" s="1">
        <v>46035</v>
      </c>
      <c r="H16">
        <v>4055.2460000000001</v>
      </c>
      <c r="I16" s="13">
        <v>3398.27</v>
      </c>
    </row>
    <row r="17" spans="2:9" x14ac:dyDescent="0.3">
      <c r="B17" t="s">
        <v>174</v>
      </c>
      <c r="C17" t="s">
        <v>46</v>
      </c>
      <c r="D17" s="29" t="s">
        <v>175</v>
      </c>
      <c r="E17" t="s">
        <v>59</v>
      </c>
      <c r="F17" t="s">
        <v>46</v>
      </c>
      <c r="G17" s="109">
        <v>46098</v>
      </c>
      <c r="H17">
        <v>3700.7159999999999</v>
      </c>
      <c r="I17" s="13">
        <v>3700.7159999999999</v>
      </c>
    </row>
    <row r="18" spans="2:9" x14ac:dyDescent="0.3">
      <c r="B18" t="s">
        <v>174</v>
      </c>
      <c r="C18" t="s">
        <v>46</v>
      </c>
      <c r="D18" s="29" t="s">
        <v>191</v>
      </c>
      <c r="E18" s="29" t="s">
        <v>217</v>
      </c>
      <c r="F18" t="s">
        <v>46</v>
      </c>
      <c r="G18" s="109">
        <v>46096</v>
      </c>
      <c r="H18">
        <v>4610.7539999999999</v>
      </c>
      <c r="I18" s="13">
        <v>4610.7539999999999</v>
      </c>
    </row>
    <row r="19" spans="2:9" x14ac:dyDescent="0.3">
      <c r="B19" t="s">
        <v>174</v>
      </c>
      <c r="C19" t="s">
        <v>46</v>
      </c>
      <c r="D19" t="s">
        <v>1</v>
      </c>
      <c r="E19" t="s">
        <v>59</v>
      </c>
      <c r="F19" t="s">
        <v>46</v>
      </c>
      <c r="G19" s="1">
        <v>46039</v>
      </c>
      <c r="H19">
        <v>3103.1849999999999</v>
      </c>
      <c r="I19" s="13">
        <v>616.60400000000004</v>
      </c>
    </row>
    <row r="20" spans="2:9" x14ac:dyDescent="0.3">
      <c r="B20" t="s">
        <v>179</v>
      </c>
      <c r="C20" t="s">
        <v>46</v>
      </c>
      <c r="D20" s="29" t="s">
        <v>2</v>
      </c>
      <c r="E20" s="29" t="s">
        <v>59</v>
      </c>
      <c r="F20" t="s">
        <v>46</v>
      </c>
      <c r="G20" s="1">
        <v>46049</v>
      </c>
      <c r="H20">
        <v>4001.7570000000001</v>
      </c>
      <c r="I20" s="13">
        <v>429.392</v>
      </c>
    </row>
    <row r="21" spans="2:9" x14ac:dyDescent="0.3">
      <c r="B21" t="s">
        <v>179</v>
      </c>
      <c r="C21" t="s">
        <v>46</v>
      </c>
      <c r="D21" s="29" t="s">
        <v>2</v>
      </c>
      <c r="E21" s="29" t="s">
        <v>59</v>
      </c>
      <c r="F21" t="s">
        <v>46</v>
      </c>
      <c r="G21" s="1">
        <v>46069</v>
      </c>
      <c r="H21">
        <v>4034.2849999999999</v>
      </c>
      <c r="I21" s="13">
        <v>4034.2849999999999</v>
      </c>
    </row>
    <row r="22" spans="2:9" x14ac:dyDescent="0.3">
      <c r="B22" t="s">
        <v>179</v>
      </c>
      <c r="C22" t="s">
        <v>46</v>
      </c>
      <c r="D22" s="29" t="s">
        <v>2</v>
      </c>
      <c r="E22" s="29" t="s">
        <v>59</v>
      </c>
      <c r="F22" t="s">
        <v>46</v>
      </c>
      <c r="G22" s="1">
        <v>46081</v>
      </c>
      <c r="H22">
        <v>4001.598</v>
      </c>
      <c r="I22" s="13">
        <v>3684.5790000000002</v>
      </c>
    </row>
    <row r="23" spans="2:9" x14ac:dyDescent="0.3">
      <c r="B23" t="s">
        <v>179</v>
      </c>
      <c r="C23" t="s">
        <v>46</v>
      </c>
      <c r="D23" t="s">
        <v>7</v>
      </c>
      <c r="E23" s="29" t="s">
        <v>59</v>
      </c>
      <c r="F23" t="s">
        <v>46</v>
      </c>
      <c r="G23" s="1">
        <v>46077</v>
      </c>
      <c r="H23">
        <v>3235.8980000000001</v>
      </c>
      <c r="I23" s="13">
        <v>3235.8980000000001</v>
      </c>
    </row>
    <row r="24" spans="2:9" x14ac:dyDescent="0.3">
      <c r="B24" t="s">
        <v>179</v>
      </c>
      <c r="C24" t="s">
        <v>46</v>
      </c>
      <c r="D24" t="s">
        <v>5</v>
      </c>
      <c r="E24" s="29" t="s">
        <v>217</v>
      </c>
      <c r="F24" t="s">
        <v>46</v>
      </c>
      <c r="G24" s="1">
        <v>46049</v>
      </c>
      <c r="H24">
        <v>3008.0459999999998</v>
      </c>
      <c r="I24" s="13">
        <v>3008.0459999999998</v>
      </c>
    </row>
    <row r="25" spans="2:9" x14ac:dyDescent="0.3">
      <c r="B25" t="s">
        <v>179</v>
      </c>
      <c r="C25" t="s">
        <v>46</v>
      </c>
      <c r="D25" t="s">
        <v>5</v>
      </c>
      <c r="E25" s="29" t="s">
        <v>59</v>
      </c>
      <c r="F25" t="s">
        <v>46</v>
      </c>
      <c r="G25" s="1">
        <v>46067</v>
      </c>
      <c r="H25">
        <v>3299.5250000000001</v>
      </c>
      <c r="I25" s="13">
        <v>3299.5250000000001</v>
      </c>
    </row>
    <row r="26" spans="2:9" x14ac:dyDescent="0.3">
      <c r="B26" t="s">
        <v>179</v>
      </c>
      <c r="C26" t="s">
        <v>46</v>
      </c>
      <c r="D26" s="29" t="s">
        <v>176</v>
      </c>
      <c r="E26" s="29" t="s">
        <v>59</v>
      </c>
      <c r="F26" t="s">
        <v>46</v>
      </c>
      <c r="G26" s="1">
        <v>46082</v>
      </c>
      <c r="H26">
        <v>2800.0630000000001</v>
      </c>
      <c r="I26" s="13">
        <v>2800.0630000000001</v>
      </c>
    </row>
    <row r="27" spans="2:9" x14ac:dyDescent="0.3">
      <c r="B27" t="s">
        <v>179</v>
      </c>
      <c r="C27" t="s">
        <v>46</v>
      </c>
      <c r="D27" t="s">
        <v>63</v>
      </c>
      <c r="E27" s="29" t="s">
        <v>59</v>
      </c>
      <c r="F27" t="s">
        <v>46</v>
      </c>
      <c r="G27" s="1">
        <v>46054</v>
      </c>
      <c r="H27">
        <v>4300.5600000000004</v>
      </c>
      <c r="I27" s="13">
        <v>4300.5600000000004</v>
      </c>
    </row>
    <row r="28" spans="2:9" x14ac:dyDescent="0.3">
      <c r="B28" t="s">
        <v>179</v>
      </c>
      <c r="C28" t="s">
        <v>46</v>
      </c>
      <c r="D28" t="s">
        <v>6</v>
      </c>
      <c r="E28" t="s">
        <v>207</v>
      </c>
      <c r="F28" t="s">
        <v>46</v>
      </c>
      <c r="G28" s="1">
        <v>46038</v>
      </c>
      <c r="H28">
        <v>3080.8</v>
      </c>
      <c r="I28" s="13">
        <v>3080.8</v>
      </c>
    </row>
    <row r="29" spans="2:9" x14ac:dyDescent="0.3">
      <c r="B29" t="s">
        <v>179</v>
      </c>
      <c r="C29" t="s">
        <v>46</v>
      </c>
      <c r="D29" t="s">
        <v>64</v>
      </c>
      <c r="E29" t="s">
        <v>59</v>
      </c>
      <c r="F29" t="s">
        <v>46</v>
      </c>
      <c r="G29" s="1">
        <v>46080</v>
      </c>
      <c r="H29">
        <v>4268.1030000000001</v>
      </c>
      <c r="I29" s="13">
        <v>4268.1030000000001</v>
      </c>
    </row>
    <row r="30" spans="2:9" x14ac:dyDescent="0.3">
      <c r="B30" t="s">
        <v>27</v>
      </c>
      <c r="C30" t="s">
        <v>46</v>
      </c>
      <c r="D30" s="29" t="s">
        <v>23</v>
      </c>
      <c r="E30" s="29" t="s">
        <v>59</v>
      </c>
      <c r="F30" t="s">
        <v>46</v>
      </c>
      <c r="G30" s="1">
        <v>46091</v>
      </c>
      <c r="H30">
        <v>4751.2169999999996</v>
      </c>
      <c r="I30" s="13">
        <v>4751.2169999999996</v>
      </c>
    </row>
    <row r="31" spans="2:9" x14ac:dyDescent="0.3">
      <c r="B31" t="s">
        <v>27</v>
      </c>
      <c r="C31" t="s">
        <v>46</v>
      </c>
      <c r="D31" s="29" t="s">
        <v>2</v>
      </c>
      <c r="E31" s="29" t="s">
        <v>59</v>
      </c>
      <c r="F31" t="s">
        <v>46</v>
      </c>
      <c r="G31" s="1">
        <v>46081</v>
      </c>
      <c r="H31">
        <v>4001.598</v>
      </c>
      <c r="I31" s="13">
        <v>317.01900000000001</v>
      </c>
    </row>
    <row r="32" spans="2:9" x14ac:dyDescent="0.3">
      <c r="B32" t="s">
        <v>27</v>
      </c>
      <c r="C32" t="s">
        <v>46</v>
      </c>
      <c r="D32" t="s">
        <v>7</v>
      </c>
      <c r="E32" s="29" t="s">
        <v>59</v>
      </c>
      <c r="F32" t="s">
        <v>46</v>
      </c>
      <c r="G32" s="1">
        <v>46090</v>
      </c>
      <c r="H32">
        <v>3235.3490000000002</v>
      </c>
      <c r="I32" s="13">
        <v>3235.3789999999999</v>
      </c>
    </row>
    <row r="33" spans="2:9" x14ac:dyDescent="0.3">
      <c r="B33" t="s">
        <v>27</v>
      </c>
      <c r="C33" t="s">
        <v>46</v>
      </c>
      <c r="D33" t="s">
        <v>5</v>
      </c>
      <c r="E33" s="29" t="s">
        <v>217</v>
      </c>
      <c r="F33" t="s">
        <v>46</v>
      </c>
      <c r="G33" s="1">
        <v>46082</v>
      </c>
      <c r="H33">
        <v>3300.1390000000001</v>
      </c>
      <c r="I33" s="13">
        <v>3300.1390000000001</v>
      </c>
    </row>
    <row r="34" spans="2:9" x14ac:dyDescent="0.3">
      <c r="B34" t="s">
        <v>27</v>
      </c>
      <c r="C34" t="s">
        <v>46</v>
      </c>
      <c r="D34" t="s">
        <v>5</v>
      </c>
      <c r="E34" s="29" t="s">
        <v>59</v>
      </c>
      <c r="F34" t="s">
        <v>46</v>
      </c>
      <c r="G34" s="1">
        <v>46091</v>
      </c>
      <c r="H34">
        <v>3301.9459999999999</v>
      </c>
      <c r="I34" s="13">
        <v>3301.9459999999999</v>
      </c>
    </row>
    <row r="35" spans="2:9" x14ac:dyDescent="0.3">
      <c r="B35" t="s">
        <v>27</v>
      </c>
      <c r="C35" t="s">
        <v>46</v>
      </c>
      <c r="D35" s="29" t="s">
        <v>176</v>
      </c>
      <c r="E35" s="29" t="s">
        <v>217</v>
      </c>
      <c r="F35" t="s">
        <v>46</v>
      </c>
      <c r="G35" s="1">
        <v>46090</v>
      </c>
      <c r="H35">
        <v>2802.13</v>
      </c>
      <c r="I35" s="13">
        <v>2802.13</v>
      </c>
    </row>
    <row r="36" spans="2:9" x14ac:dyDescent="0.3">
      <c r="B36" t="s">
        <v>27</v>
      </c>
      <c r="C36" t="s">
        <v>46</v>
      </c>
      <c r="D36" t="s">
        <v>63</v>
      </c>
      <c r="E36" s="29" t="s">
        <v>59</v>
      </c>
      <c r="F36" t="s">
        <v>46</v>
      </c>
      <c r="G36" s="1">
        <v>46088</v>
      </c>
      <c r="H36">
        <v>4600.24</v>
      </c>
      <c r="I36" s="13">
        <v>4600.24</v>
      </c>
    </row>
    <row r="37" spans="2:9" x14ac:dyDescent="0.3">
      <c r="B37" t="s">
        <v>27</v>
      </c>
      <c r="C37" t="s">
        <v>46</v>
      </c>
      <c r="D37" s="29" t="s">
        <v>4</v>
      </c>
      <c r="E37" t="s">
        <v>59</v>
      </c>
      <c r="F37" t="s">
        <v>46</v>
      </c>
      <c r="G37" s="109">
        <v>46092</v>
      </c>
      <c r="H37">
        <v>4015.4270000000001</v>
      </c>
      <c r="I37" s="13">
        <v>2727.51</v>
      </c>
    </row>
    <row r="38" spans="2:9" x14ac:dyDescent="0.3">
      <c r="B38" t="s">
        <v>27</v>
      </c>
      <c r="C38" t="s">
        <v>46</v>
      </c>
      <c r="D38" s="29" t="s">
        <v>4</v>
      </c>
      <c r="E38" t="s">
        <v>59</v>
      </c>
      <c r="F38" t="s">
        <v>46</v>
      </c>
      <c r="G38" s="1">
        <v>46083</v>
      </c>
      <c r="H38">
        <v>4009.127</v>
      </c>
      <c r="I38" s="13">
        <v>4009.127</v>
      </c>
    </row>
    <row r="39" spans="2:9" x14ac:dyDescent="0.3">
      <c r="B39" t="s">
        <v>27</v>
      </c>
      <c r="C39" t="s">
        <v>46</v>
      </c>
      <c r="D39" s="29" t="s">
        <v>175</v>
      </c>
      <c r="E39" t="s">
        <v>59</v>
      </c>
      <c r="F39" t="s">
        <v>46</v>
      </c>
      <c r="G39" s="1">
        <v>46089</v>
      </c>
      <c r="H39">
        <v>3725.46</v>
      </c>
      <c r="I39" s="13">
        <v>3725.46</v>
      </c>
    </row>
    <row r="40" spans="2:9" x14ac:dyDescent="0.3">
      <c r="B40" t="s">
        <v>27</v>
      </c>
      <c r="C40" t="s">
        <v>46</v>
      </c>
      <c r="D40" t="s">
        <v>173</v>
      </c>
      <c r="E40" t="s">
        <v>59</v>
      </c>
      <c r="F40" t="s">
        <v>46</v>
      </c>
      <c r="G40" s="1">
        <v>46086</v>
      </c>
      <c r="H40">
        <v>2879.7809999999999</v>
      </c>
      <c r="I40" s="13">
        <v>2879.7809999999999</v>
      </c>
    </row>
    <row r="41" spans="2:9" x14ac:dyDescent="0.3">
      <c r="B41" t="s">
        <v>27</v>
      </c>
      <c r="C41" t="s">
        <v>46</v>
      </c>
      <c r="D41" t="s">
        <v>177</v>
      </c>
      <c r="E41" t="s">
        <v>59</v>
      </c>
      <c r="F41" t="s">
        <v>46</v>
      </c>
      <c r="G41" s="1">
        <v>46088</v>
      </c>
      <c r="H41">
        <v>4350.0519999999997</v>
      </c>
      <c r="I41" s="13">
        <v>4350.0519999999997</v>
      </c>
    </row>
    <row r="42" spans="2:9" x14ac:dyDescent="0.3">
      <c r="B42" t="s">
        <v>24</v>
      </c>
      <c r="C42" t="s">
        <v>46</v>
      </c>
      <c r="D42" s="29" t="s">
        <v>23</v>
      </c>
      <c r="E42" s="29" t="s">
        <v>59</v>
      </c>
      <c r="F42" t="s">
        <v>46</v>
      </c>
      <c r="G42" s="1">
        <v>45999</v>
      </c>
      <c r="H42">
        <v>4812.326</v>
      </c>
      <c r="I42" s="13">
        <v>4812.326</v>
      </c>
    </row>
    <row r="43" spans="2:9" x14ac:dyDescent="0.3">
      <c r="B43" t="s">
        <v>24</v>
      </c>
      <c r="C43" t="s">
        <v>46</v>
      </c>
      <c r="D43" s="29" t="s">
        <v>23</v>
      </c>
      <c r="E43" s="29" t="s">
        <v>59</v>
      </c>
      <c r="F43" t="s">
        <v>46</v>
      </c>
      <c r="G43" s="1">
        <v>46019</v>
      </c>
      <c r="H43">
        <v>4756.8789999999999</v>
      </c>
      <c r="I43" s="13">
        <v>214.47300000000001</v>
      </c>
    </row>
    <row r="44" spans="2:9" x14ac:dyDescent="0.3">
      <c r="B44" t="s">
        <v>24</v>
      </c>
      <c r="C44" t="s">
        <v>46</v>
      </c>
      <c r="D44" s="29" t="s">
        <v>2</v>
      </c>
      <c r="E44" s="29" t="s">
        <v>217</v>
      </c>
      <c r="F44" t="s">
        <v>46</v>
      </c>
      <c r="G44" s="1">
        <v>46020</v>
      </c>
      <c r="H44">
        <v>3900</v>
      </c>
      <c r="I44" s="13">
        <v>3900</v>
      </c>
    </row>
    <row r="45" spans="2:9" x14ac:dyDescent="0.3">
      <c r="B45" t="s">
        <v>24</v>
      </c>
      <c r="C45" t="s">
        <v>46</v>
      </c>
      <c r="D45" s="29" t="s">
        <v>2</v>
      </c>
      <c r="E45" s="29" t="s">
        <v>59</v>
      </c>
      <c r="F45" t="s">
        <v>46</v>
      </c>
      <c r="G45" s="1">
        <v>46049</v>
      </c>
      <c r="H45">
        <v>4001.7570000000001</v>
      </c>
      <c r="I45" s="13">
        <v>3572.3649999999998</v>
      </c>
    </row>
    <row r="46" spans="2:9" x14ac:dyDescent="0.3">
      <c r="B46" t="s">
        <v>24</v>
      </c>
      <c r="C46" t="s">
        <v>46</v>
      </c>
      <c r="D46" t="s">
        <v>7</v>
      </c>
      <c r="E46" s="29" t="s">
        <v>59</v>
      </c>
      <c r="F46" t="s">
        <v>46</v>
      </c>
      <c r="G46" s="1">
        <v>46017</v>
      </c>
      <c r="H46">
        <v>3209.933</v>
      </c>
      <c r="I46" s="13">
        <v>3209.933</v>
      </c>
    </row>
    <row r="47" spans="2:9" x14ac:dyDescent="0.3">
      <c r="B47" t="s">
        <v>24</v>
      </c>
      <c r="C47" t="s">
        <v>46</v>
      </c>
      <c r="D47" t="s">
        <v>5</v>
      </c>
      <c r="E47" s="29" t="s">
        <v>59</v>
      </c>
      <c r="F47" t="s">
        <v>46</v>
      </c>
      <c r="G47" s="1">
        <v>45997</v>
      </c>
      <c r="H47">
        <v>2788.9839999999999</v>
      </c>
      <c r="I47" s="13">
        <v>868.221</v>
      </c>
    </row>
    <row r="48" spans="2:9" x14ac:dyDescent="0.3">
      <c r="B48" t="s">
        <v>24</v>
      </c>
      <c r="C48" t="s">
        <v>46</v>
      </c>
      <c r="D48" t="s">
        <v>5</v>
      </c>
      <c r="E48" s="29" t="s">
        <v>59</v>
      </c>
      <c r="F48" t="s">
        <v>46</v>
      </c>
      <c r="G48" s="1">
        <v>46022</v>
      </c>
      <c r="H48">
        <v>3300.549</v>
      </c>
      <c r="I48" s="13">
        <v>3300.549</v>
      </c>
    </row>
    <row r="49" spans="2:9" x14ac:dyDescent="0.3">
      <c r="B49" t="s">
        <v>24</v>
      </c>
      <c r="C49" t="s">
        <v>46</v>
      </c>
      <c r="D49" t="s">
        <v>64</v>
      </c>
      <c r="E49" t="s">
        <v>59</v>
      </c>
      <c r="F49" t="s">
        <v>46</v>
      </c>
      <c r="G49" s="1">
        <v>46021</v>
      </c>
      <c r="H49">
        <v>4196.6220000000003</v>
      </c>
      <c r="I49" s="13">
        <v>4196.6220000000003</v>
      </c>
    </row>
    <row r="50" spans="2:9" x14ac:dyDescent="0.3">
      <c r="B50" t="s">
        <v>24</v>
      </c>
      <c r="C50" t="s">
        <v>46</v>
      </c>
      <c r="D50" t="s">
        <v>1</v>
      </c>
      <c r="E50" t="s">
        <v>59</v>
      </c>
      <c r="F50" t="s">
        <v>46</v>
      </c>
      <c r="G50" s="1">
        <v>46039</v>
      </c>
      <c r="H50">
        <v>3103.1849999999999</v>
      </c>
      <c r="I50" s="13">
        <v>2486.5810000000001</v>
      </c>
    </row>
    <row r="51" spans="2:9" x14ac:dyDescent="0.3">
      <c r="B51" t="s">
        <v>124</v>
      </c>
      <c r="C51" t="s">
        <v>46</v>
      </c>
      <c r="D51" s="29" t="s">
        <v>23</v>
      </c>
      <c r="E51" s="29" t="s">
        <v>54</v>
      </c>
      <c r="F51" t="s">
        <v>46</v>
      </c>
      <c r="G51" s="1">
        <v>45976</v>
      </c>
      <c r="H51">
        <v>4780.7449999999999</v>
      </c>
      <c r="I51" s="13">
        <v>266.22899999999998</v>
      </c>
    </row>
    <row r="52" spans="2:9" x14ac:dyDescent="0.3">
      <c r="B52" t="s">
        <v>124</v>
      </c>
      <c r="C52" t="s">
        <v>46</v>
      </c>
      <c r="D52" t="s">
        <v>7</v>
      </c>
      <c r="E52" s="29" t="s">
        <v>59</v>
      </c>
      <c r="F52" t="s">
        <v>46</v>
      </c>
      <c r="G52" s="1">
        <v>46003</v>
      </c>
      <c r="H52">
        <v>3214.2060000000001</v>
      </c>
      <c r="I52" s="13">
        <v>3214.2060000000001</v>
      </c>
    </row>
    <row r="53" spans="2:9" x14ac:dyDescent="0.3">
      <c r="B53" t="s">
        <v>124</v>
      </c>
      <c r="C53" t="s">
        <v>46</v>
      </c>
      <c r="D53" t="s">
        <v>8</v>
      </c>
      <c r="E53" s="29" t="s">
        <v>221</v>
      </c>
      <c r="F53" t="s">
        <v>46</v>
      </c>
      <c r="G53" s="1">
        <v>46007</v>
      </c>
      <c r="H53">
        <v>3269.0430000000001</v>
      </c>
      <c r="I53" s="13">
        <v>3269.0430000000001</v>
      </c>
    </row>
    <row r="54" spans="2:9" x14ac:dyDescent="0.3">
      <c r="B54" t="s">
        <v>124</v>
      </c>
      <c r="C54" t="s">
        <v>46</v>
      </c>
      <c r="D54" t="s">
        <v>8</v>
      </c>
      <c r="E54" s="29" t="s">
        <v>59</v>
      </c>
      <c r="F54" t="s">
        <v>46</v>
      </c>
      <c r="G54" s="1">
        <v>46018</v>
      </c>
      <c r="H54">
        <v>3299.9589999999998</v>
      </c>
      <c r="I54" s="13">
        <v>3299.9589999999998</v>
      </c>
    </row>
    <row r="55" spans="2:9" x14ac:dyDescent="0.3">
      <c r="B55" t="s">
        <v>124</v>
      </c>
      <c r="C55" t="s">
        <v>46</v>
      </c>
      <c r="D55" t="s">
        <v>5</v>
      </c>
      <c r="E55" s="29" t="s">
        <v>59</v>
      </c>
      <c r="F55" t="s">
        <v>46</v>
      </c>
      <c r="G55" s="1">
        <v>46011</v>
      </c>
      <c r="H55">
        <v>3179.6790000000001</v>
      </c>
      <c r="I55" s="13">
        <v>3179.6790000000001</v>
      </c>
    </row>
    <row r="56" spans="2:9" x14ac:dyDescent="0.3">
      <c r="B56" t="s">
        <v>124</v>
      </c>
      <c r="C56" t="s">
        <v>46</v>
      </c>
      <c r="D56" s="29" t="s">
        <v>4</v>
      </c>
      <c r="E56" t="s">
        <v>59</v>
      </c>
      <c r="F56" t="s">
        <v>46</v>
      </c>
      <c r="G56" s="1">
        <v>46009</v>
      </c>
      <c r="H56">
        <v>4012.3980000000001</v>
      </c>
      <c r="I56" s="13">
        <v>4012.3980000000001</v>
      </c>
    </row>
    <row r="57" spans="2:9" x14ac:dyDescent="0.3">
      <c r="B57" t="s">
        <v>124</v>
      </c>
      <c r="C57" t="s">
        <v>46</v>
      </c>
      <c r="D57" s="29" t="s">
        <v>4</v>
      </c>
      <c r="E57" t="s">
        <v>59</v>
      </c>
      <c r="F57" t="s">
        <v>46</v>
      </c>
      <c r="G57" s="1">
        <v>46035</v>
      </c>
      <c r="H57">
        <v>4055.2460000000001</v>
      </c>
      <c r="I57" s="13">
        <v>656.976</v>
      </c>
    </row>
    <row r="58" spans="2:9" x14ac:dyDescent="0.3">
      <c r="B58" t="s">
        <v>124</v>
      </c>
      <c r="C58" t="s">
        <v>46</v>
      </c>
      <c r="D58" t="s">
        <v>6</v>
      </c>
      <c r="E58" t="s">
        <v>59</v>
      </c>
      <c r="F58" t="s">
        <v>46</v>
      </c>
      <c r="G58" s="1">
        <v>46009</v>
      </c>
      <c r="H58">
        <v>3249.9639999999999</v>
      </c>
      <c r="I58" s="13">
        <v>3249.9639999999999</v>
      </c>
    </row>
    <row r="59" spans="2:9" x14ac:dyDescent="0.3">
      <c r="B59" t="s">
        <v>124</v>
      </c>
      <c r="C59" t="s">
        <v>46</v>
      </c>
      <c r="D59" t="s">
        <v>6</v>
      </c>
      <c r="E59" t="s">
        <v>59</v>
      </c>
      <c r="F59" t="s">
        <v>46</v>
      </c>
      <c r="G59" s="1">
        <v>46025</v>
      </c>
      <c r="H59">
        <v>3251.2559999999999</v>
      </c>
      <c r="I59" s="13">
        <v>3251.2559999999999</v>
      </c>
    </row>
    <row r="60" spans="2:9" x14ac:dyDescent="0.3">
      <c r="B60" t="s">
        <v>124</v>
      </c>
      <c r="C60" t="s">
        <v>46</v>
      </c>
      <c r="D60" t="s">
        <v>1</v>
      </c>
      <c r="E60" t="s">
        <v>59</v>
      </c>
      <c r="F60" t="s">
        <v>46</v>
      </c>
      <c r="G60" s="1">
        <v>46013</v>
      </c>
      <c r="H60">
        <v>3300.29</v>
      </c>
      <c r="I60" s="13">
        <v>3300.29</v>
      </c>
    </row>
    <row r="61" spans="2:9" x14ac:dyDescent="0.3">
      <c r="B61" t="s">
        <v>87</v>
      </c>
      <c r="D61"/>
      <c r="G61"/>
      <c r="I61" s="13">
        <v>162114.158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7:G126"/>
  <sheetViews>
    <sheetView zoomScale="130" zoomScaleNormal="130" workbookViewId="0">
      <selection activeCell="A8" sqref="A8:G13"/>
    </sheetView>
  </sheetViews>
  <sheetFormatPr defaultRowHeight="14.4" x14ac:dyDescent="0.3"/>
  <cols>
    <col min="1" max="1" width="32.44140625" customWidth="1"/>
    <col min="2" max="2" width="20.88671875" customWidth="1"/>
    <col min="3" max="3" width="22" customWidth="1"/>
    <col min="4" max="4" width="16.44140625" style="29" customWidth="1"/>
    <col min="5" max="5" width="19.109375" customWidth="1"/>
    <col min="6" max="6" width="30.33203125" customWidth="1"/>
    <col min="7" max="7" width="31.6640625" customWidth="1"/>
    <col min="8" max="8" width="30.33203125" customWidth="1"/>
  </cols>
  <sheetData>
    <row r="7" spans="1:7" x14ac:dyDescent="0.3">
      <c r="A7" s="123"/>
      <c r="B7" s="123"/>
      <c r="C7" s="123"/>
      <c r="D7" s="123"/>
      <c r="E7" s="123"/>
      <c r="F7" s="123"/>
      <c r="G7" s="123"/>
    </row>
    <row r="8" spans="1:7" ht="28.8" x14ac:dyDescent="0.3">
      <c r="A8" s="35" t="s">
        <v>0</v>
      </c>
      <c r="B8" s="35" t="s">
        <v>9</v>
      </c>
      <c r="C8" s="36" t="s">
        <v>84</v>
      </c>
      <c r="D8" s="38" t="s">
        <v>31</v>
      </c>
      <c r="E8" s="38" t="s">
        <v>113</v>
      </c>
      <c r="F8" s="35" t="s">
        <v>12</v>
      </c>
      <c r="G8" s="37" t="s">
        <v>45</v>
      </c>
    </row>
    <row r="9" spans="1:7" x14ac:dyDescent="0.3">
      <c r="A9" s="129" t="s">
        <v>4</v>
      </c>
      <c r="B9" s="129" t="s">
        <v>49</v>
      </c>
      <c r="C9" s="131">
        <v>1346.396</v>
      </c>
      <c r="D9" s="102">
        <v>46113</v>
      </c>
      <c r="E9" s="132">
        <v>14</v>
      </c>
      <c r="F9" s="101" t="s">
        <v>48</v>
      </c>
      <c r="G9" s="103" t="s">
        <v>46</v>
      </c>
    </row>
    <row r="10" spans="1:7" x14ac:dyDescent="0.3">
      <c r="A10" s="130" t="s">
        <v>4</v>
      </c>
      <c r="B10" s="129" t="s">
        <v>207</v>
      </c>
      <c r="C10" s="131">
        <v>2675.78</v>
      </c>
      <c r="D10" s="102">
        <v>46117</v>
      </c>
      <c r="E10" s="132">
        <v>14</v>
      </c>
      <c r="F10" s="101" t="s">
        <v>48</v>
      </c>
      <c r="G10" s="103" t="s">
        <v>46</v>
      </c>
    </row>
    <row r="11" spans="1:7" x14ac:dyDescent="0.3">
      <c r="A11" s="129" t="s">
        <v>176</v>
      </c>
      <c r="B11" s="129" t="s">
        <v>14</v>
      </c>
      <c r="C11" s="131">
        <v>2458.91</v>
      </c>
      <c r="D11" s="102">
        <v>46117</v>
      </c>
      <c r="E11" s="132">
        <v>14</v>
      </c>
      <c r="F11" s="101" t="s">
        <v>48</v>
      </c>
      <c r="G11" s="103" t="s">
        <v>46</v>
      </c>
    </row>
    <row r="12" spans="1:7" x14ac:dyDescent="0.3">
      <c r="A12" s="129" t="s">
        <v>23</v>
      </c>
      <c r="B12" s="129" t="s">
        <v>59</v>
      </c>
      <c r="C12" s="131">
        <v>4756.08</v>
      </c>
      <c r="D12" s="102">
        <v>46117</v>
      </c>
      <c r="E12" s="132">
        <v>14</v>
      </c>
      <c r="F12" s="101" t="s">
        <v>48</v>
      </c>
      <c r="G12" s="103" t="s">
        <v>46</v>
      </c>
    </row>
    <row r="13" spans="1:7" x14ac:dyDescent="0.3">
      <c r="A13" s="120" t="s">
        <v>63</v>
      </c>
      <c r="B13" s="120" t="s">
        <v>19</v>
      </c>
      <c r="C13" s="133">
        <v>4817.8059999999996</v>
      </c>
      <c r="D13" s="98">
        <v>46118</v>
      </c>
      <c r="E13" s="46">
        <v>15</v>
      </c>
      <c r="F13" s="95" t="s">
        <v>48</v>
      </c>
      <c r="G13" s="90" t="s">
        <v>46</v>
      </c>
    </row>
    <row r="14" spans="1:7" x14ac:dyDescent="0.3">
      <c r="D14"/>
    </row>
    <row r="15" spans="1:7" x14ac:dyDescent="0.3">
      <c r="D15"/>
    </row>
    <row r="16" spans="1:7" x14ac:dyDescent="0.3">
      <c r="D16"/>
    </row>
    <row r="17" spans="4:4" x14ac:dyDescent="0.3">
      <c r="D17"/>
    </row>
    <row r="18" spans="4:4" x14ac:dyDescent="0.3">
      <c r="D18"/>
    </row>
    <row r="19" spans="4:4" x14ac:dyDescent="0.3">
      <c r="D19"/>
    </row>
    <row r="20" spans="4:4" x14ac:dyDescent="0.3">
      <c r="D20"/>
    </row>
    <row r="21" spans="4:4" x14ac:dyDescent="0.3">
      <c r="D21"/>
    </row>
    <row r="22" spans="4:4" x14ac:dyDescent="0.3">
      <c r="D22"/>
    </row>
    <row r="23" spans="4:4" x14ac:dyDescent="0.3">
      <c r="D23"/>
    </row>
    <row r="24" spans="4:4" x14ac:dyDescent="0.3">
      <c r="D24"/>
    </row>
    <row r="25" spans="4:4" x14ac:dyDescent="0.3">
      <c r="D25"/>
    </row>
    <row r="26" spans="4:4" x14ac:dyDescent="0.3">
      <c r="D26"/>
    </row>
    <row r="27" spans="4:4" x14ac:dyDescent="0.3">
      <c r="D27"/>
    </row>
    <row r="28" spans="4:4" x14ac:dyDescent="0.3">
      <c r="D28"/>
    </row>
    <row r="29" spans="4:4" x14ac:dyDescent="0.3">
      <c r="D29"/>
    </row>
    <row r="30" spans="4:4" x14ac:dyDescent="0.3">
      <c r="D30"/>
    </row>
    <row r="31" spans="4:4" x14ac:dyDescent="0.3">
      <c r="D31"/>
    </row>
    <row r="32" spans="4:4" x14ac:dyDescent="0.3">
      <c r="D32"/>
    </row>
    <row r="33" spans="4:4" x14ac:dyDescent="0.3">
      <c r="D33"/>
    </row>
    <row r="34" spans="4:4" x14ac:dyDescent="0.3">
      <c r="D34"/>
    </row>
    <row r="35" spans="4:4" x14ac:dyDescent="0.3">
      <c r="D35"/>
    </row>
    <row r="36" spans="4:4" x14ac:dyDescent="0.3">
      <c r="D36"/>
    </row>
    <row r="37" spans="4:4" x14ac:dyDescent="0.3">
      <c r="D37"/>
    </row>
    <row r="38" spans="4:4" x14ac:dyDescent="0.3">
      <c r="D38"/>
    </row>
    <row r="39" spans="4:4" x14ac:dyDescent="0.3">
      <c r="D39"/>
    </row>
    <row r="40" spans="4:4" x14ac:dyDescent="0.3">
      <c r="D40"/>
    </row>
    <row r="41" spans="4:4" x14ac:dyDescent="0.3">
      <c r="D41"/>
    </row>
    <row r="42" spans="4:4" x14ac:dyDescent="0.3">
      <c r="D42"/>
    </row>
    <row r="43" spans="4:4" x14ac:dyDescent="0.3">
      <c r="D43"/>
    </row>
    <row r="44" spans="4:4" x14ac:dyDescent="0.3">
      <c r="D44"/>
    </row>
    <row r="45" spans="4:4" x14ac:dyDescent="0.3">
      <c r="D45"/>
    </row>
    <row r="46" spans="4:4" x14ac:dyDescent="0.3">
      <c r="D46"/>
    </row>
    <row r="47" spans="4:4" x14ac:dyDescent="0.3">
      <c r="D47"/>
    </row>
    <row r="48" spans="4:4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  <row r="111" spans="4:4" x14ac:dyDescent="0.3">
      <c r="D111"/>
    </row>
    <row r="112" spans="4:4" x14ac:dyDescent="0.3">
      <c r="D112"/>
    </row>
    <row r="113" spans="4:4" x14ac:dyDescent="0.3">
      <c r="D113"/>
    </row>
    <row r="114" spans="4:4" x14ac:dyDescent="0.3">
      <c r="D114"/>
    </row>
    <row r="115" spans="4:4" x14ac:dyDescent="0.3">
      <c r="D115"/>
    </row>
    <row r="116" spans="4:4" x14ac:dyDescent="0.3">
      <c r="D116"/>
    </row>
    <row r="117" spans="4:4" x14ac:dyDescent="0.3">
      <c r="D117"/>
    </row>
    <row r="118" spans="4:4" x14ac:dyDescent="0.3">
      <c r="D118"/>
    </row>
    <row r="119" spans="4:4" x14ac:dyDescent="0.3">
      <c r="D119"/>
    </row>
    <row r="120" spans="4:4" x14ac:dyDescent="0.3">
      <c r="D120"/>
    </row>
    <row r="121" spans="4:4" x14ac:dyDescent="0.3">
      <c r="D121"/>
    </row>
    <row r="122" spans="4:4" x14ac:dyDescent="0.3">
      <c r="D122"/>
    </row>
    <row r="123" spans="4:4" x14ac:dyDescent="0.3">
      <c r="D123"/>
    </row>
    <row r="124" spans="4:4" x14ac:dyDescent="0.3">
      <c r="D124"/>
    </row>
    <row r="125" spans="4:4" x14ac:dyDescent="0.3">
      <c r="D125"/>
    </row>
    <row r="126" spans="4:4" x14ac:dyDescent="0.3">
      <c r="D126"/>
    </row>
  </sheetData>
  <mergeCells count="1">
    <mergeCell ref="A7:G7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autoPageBreaks="0" fitToPage="1"/>
  </sheetPr>
  <dimension ref="A1:K31"/>
  <sheetViews>
    <sheetView showGridLines="0" zoomScale="76" zoomScaleNormal="76" workbookViewId="0">
      <selection activeCell="E17" sqref="E17"/>
    </sheetView>
  </sheetViews>
  <sheetFormatPr defaultRowHeight="14.4" x14ac:dyDescent="0.3"/>
  <cols>
    <col min="1" max="1" width="39.5546875" customWidth="1"/>
    <col min="2" max="2" width="30.6640625" customWidth="1"/>
    <col min="3" max="3" width="43.44140625" customWidth="1"/>
    <col min="4" max="4" width="32.44140625" customWidth="1"/>
    <col min="5" max="5" width="24.5546875" customWidth="1"/>
    <col min="6" max="6" width="29.88671875" customWidth="1"/>
    <col min="7" max="7" width="41.6640625" customWidth="1"/>
    <col min="8" max="8" width="28" customWidth="1"/>
    <col min="9" max="9" width="36.6640625" customWidth="1"/>
    <col min="10" max="10" width="18.109375" customWidth="1"/>
    <col min="11" max="11" width="21.6640625" customWidth="1"/>
    <col min="12" max="12" width="31.6640625" customWidth="1"/>
    <col min="13" max="13" width="20.5546875" customWidth="1"/>
  </cols>
  <sheetData>
    <row r="1" spans="1:11" ht="15" customHeight="1" x14ac:dyDescent="0.3">
      <c r="C1" s="125" t="s">
        <v>91</v>
      </c>
      <c r="D1" s="125"/>
      <c r="E1" s="125"/>
      <c r="F1" s="126">
        <f ca="1">TODAY()</f>
        <v>46118</v>
      </c>
      <c r="G1" s="40"/>
    </row>
    <row r="2" spans="1:11" ht="17.25" customHeight="1" x14ac:dyDescent="0.3">
      <c r="C2" s="125"/>
      <c r="D2" s="125"/>
      <c r="E2" s="125"/>
      <c r="F2" s="126"/>
      <c r="G2" s="40"/>
    </row>
    <row r="3" spans="1:11" ht="21.75" customHeight="1" x14ac:dyDescent="0.3">
      <c r="C3" s="125" t="s">
        <v>153</v>
      </c>
      <c r="D3" s="125"/>
      <c r="E3" s="89"/>
      <c r="F3" s="89">
        <f ca="1">_xlfn.ISOWEEKNUM(F1)</f>
        <v>15</v>
      </c>
      <c r="G3" s="40"/>
    </row>
    <row r="4" spans="1:11" ht="22.5" customHeight="1" x14ac:dyDescent="0.3">
      <c r="C4" s="125" t="s">
        <v>154</v>
      </c>
      <c r="D4" s="125"/>
      <c r="E4" s="88"/>
      <c r="F4" s="89">
        <v>9</v>
      </c>
      <c r="G4" s="40"/>
    </row>
    <row r="5" spans="1:11" ht="15" customHeight="1" x14ac:dyDescent="0.3">
      <c r="A5" s="124" t="s">
        <v>88</v>
      </c>
      <c r="B5" s="124"/>
      <c r="C5" s="124"/>
      <c r="D5" s="124"/>
      <c r="G5" s="124" t="s">
        <v>152</v>
      </c>
      <c r="H5" s="124"/>
      <c r="I5" s="124"/>
      <c r="J5" s="124"/>
    </row>
    <row r="6" spans="1:11" ht="15" customHeight="1" x14ac:dyDescent="0.5">
      <c r="A6" s="124"/>
      <c r="B6" s="124"/>
      <c r="C6" s="124"/>
      <c r="D6" s="124"/>
      <c r="F6" s="70"/>
      <c r="G6" s="124"/>
      <c r="H6" s="124"/>
      <c r="I6" s="124"/>
      <c r="J6" s="124"/>
    </row>
    <row r="7" spans="1:11" ht="18" x14ac:dyDescent="0.35">
      <c r="A7" s="86" t="s">
        <v>0</v>
      </c>
      <c r="B7" s="86" t="s">
        <v>9</v>
      </c>
      <c r="C7" s="86" t="s">
        <v>45</v>
      </c>
      <c r="D7" s="86" t="s">
        <v>37</v>
      </c>
      <c r="E7" s="72" t="s">
        <v>89</v>
      </c>
      <c r="G7" s="39" t="s">
        <v>0</v>
      </c>
      <c r="H7" s="39" t="s">
        <v>9</v>
      </c>
      <c r="I7" s="39" t="s">
        <v>37</v>
      </c>
      <c r="J7" s="39" t="s">
        <v>45</v>
      </c>
      <c r="K7" s="29" t="s">
        <v>92</v>
      </c>
    </row>
    <row r="8" spans="1:11" ht="18" x14ac:dyDescent="0.35">
      <c r="A8" s="111" t="s">
        <v>1</v>
      </c>
      <c r="B8" s="110" t="s">
        <v>59</v>
      </c>
      <c r="C8" s="73" t="s">
        <v>46</v>
      </c>
      <c r="D8" t="s">
        <v>109</v>
      </c>
      <c r="E8" s="96"/>
      <c r="G8" s="73" t="s">
        <v>23</v>
      </c>
      <c r="H8" t="s">
        <v>59</v>
      </c>
      <c r="I8" t="s">
        <v>143</v>
      </c>
      <c r="J8" t="s">
        <v>46</v>
      </c>
      <c r="K8" s="94">
        <v>4756.08</v>
      </c>
    </row>
    <row r="9" spans="1:11" ht="18" x14ac:dyDescent="0.35">
      <c r="A9" s="100" t="s">
        <v>2</v>
      </c>
      <c r="B9" s="84" t="s">
        <v>59</v>
      </c>
      <c r="C9" s="73" t="s">
        <v>46</v>
      </c>
      <c r="D9" s="29" t="s">
        <v>22</v>
      </c>
      <c r="E9" s="96">
        <v>4053.0749999999998</v>
      </c>
      <c r="G9" s="73" t="s">
        <v>63</v>
      </c>
      <c r="H9" s="29" t="s">
        <v>19</v>
      </c>
      <c r="I9" t="s">
        <v>108</v>
      </c>
      <c r="J9" t="s">
        <v>46</v>
      </c>
      <c r="K9" s="94">
        <v>4817.8059999999996</v>
      </c>
    </row>
    <row r="10" spans="1:11" ht="18" x14ac:dyDescent="0.35">
      <c r="A10" s="100" t="s">
        <v>5</v>
      </c>
      <c r="B10" t="s">
        <v>208</v>
      </c>
      <c r="C10" s="73" t="s">
        <v>46</v>
      </c>
      <c r="D10" t="s">
        <v>109</v>
      </c>
      <c r="E10" s="96"/>
      <c r="G10" s="128" t="s">
        <v>4</v>
      </c>
      <c r="H10" s="29" t="s">
        <v>49</v>
      </c>
      <c r="I10" t="s">
        <v>108</v>
      </c>
      <c r="J10" t="s">
        <v>46</v>
      </c>
      <c r="K10" s="74">
        <v>1346.396</v>
      </c>
    </row>
    <row r="11" spans="1:11" ht="18" x14ac:dyDescent="0.35">
      <c r="A11" s="108" t="s">
        <v>7</v>
      </c>
      <c r="B11" t="s">
        <v>208</v>
      </c>
      <c r="C11" s="73" t="s">
        <v>46</v>
      </c>
      <c r="D11" t="s">
        <v>109</v>
      </c>
      <c r="E11" s="96"/>
      <c r="G11" s="128"/>
      <c r="H11" t="s">
        <v>207</v>
      </c>
      <c r="I11" t="s">
        <v>108</v>
      </c>
      <c r="J11" t="s">
        <v>46</v>
      </c>
      <c r="K11" s="94">
        <v>2675.78</v>
      </c>
    </row>
    <row r="12" spans="1:11" ht="18" x14ac:dyDescent="0.35">
      <c r="A12" s="110" t="s">
        <v>8</v>
      </c>
      <c r="B12" t="s">
        <v>14</v>
      </c>
      <c r="C12" s="73" t="s">
        <v>46</v>
      </c>
      <c r="D12" t="s">
        <v>74</v>
      </c>
      <c r="E12" s="96"/>
      <c r="G12" s="73" t="s">
        <v>176</v>
      </c>
      <c r="H12" t="s">
        <v>14</v>
      </c>
      <c r="I12" t="s">
        <v>108</v>
      </c>
      <c r="J12" t="s">
        <v>46</v>
      </c>
      <c r="K12" s="94">
        <v>2458.91</v>
      </c>
    </row>
    <row r="13" spans="1:11" ht="18" x14ac:dyDescent="0.35">
      <c r="A13" s="108" t="s">
        <v>192</v>
      </c>
      <c r="B13" t="s">
        <v>14</v>
      </c>
      <c r="C13" s="73" t="s">
        <v>46</v>
      </c>
      <c r="D13" t="s">
        <v>22</v>
      </c>
      <c r="E13" s="96"/>
      <c r="G13" t="s">
        <v>211</v>
      </c>
      <c r="H13" t="s">
        <v>207</v>
      </c>
      <c r="I13" t="s">
        <v>108</v>
      </c>
      <c r="J13" t="s">
        <v>46</v>
      </c>
      <c r="K13" s="94">
        <v>4800</v>
      </c>
    </row>
    <row r="14" spans="1:11" ht="15" customHeight="1" x14ac:dyDescent="0.45">
      <c r="A14" s="87" t="s">
        <v>87</v>
      </c>
      <c r="B14" s="87"/>
      <c r="C14" s="87"/>
      <c r="D14" s="87"/>
      <c r="E14" s="81">
        <v>4053.0749999999998</v>
      </c>
      <c r="G14" s="73" t="s">
        <v>87</v>
      </c>
      <c r="H14" s="73"/>
      <c r="I14" s="73"/>
      <c r="J14" s="73"/>
      <c r="K14" s="74">
        <v>20854.972000000002</v>
      </c>
    </row>
    <row r="15" spans="1:11" ht="15" customHeight="1" x14ac:dyDescent="0.5">
      <c r="F15" s="70"/>
    </row>
    <row r="16" spans="1:11" ht="18" x14ac:dyDescent="0.35">
      <c r="A16" s="86" t="s">
        <v>0</v>
      </c>
      <c r="B16" s="86" t="s">
        <v>9</v>
      </c>
      <c r="C16" s="86" t="s">
        <v>37</v>
      </c>
      <c r="D16" s="86" t="s">
        <v>45</v>
      </c>
      <c r="E16" s="75" t="s">
        <v>94</v>
      </c>
      <c r="G16" s="116" t="s">
        <v>0</v>
      </c>
      <c r="H16" s="116" t="s">
        <v>9</v>
      </c>
      <c r="I16" s="116" t="s">
        <v>37</v>
      </c>
      <c r="J16" s="117" t="s">
        <v>93</v>
      </c>
    </row>
    <row r="17" spans="1:10" ht="25.8" x14ac:dyDescent="0.5">
      <c r="A17" s="82" t="s">
        <v>87</v>
      </c>
      <c r="B17" s="82"/>
      <c r="C17" s="82"/>
      <c r="D17" s="82"/>
      <c r="E17" s="83" t="s">
        <v>222</v>
      </c>
      <c r="G17" s="118" t="s">
        <v>87</v>
      </c>
      <c r="H17" s="118"/>
      <c r="I17" s="118"/>
      <c r="J17" s="119"/>
    </row>
    <row r="18" spans="1:10" ht="25.8" x14ac:dyDescent="0.5"/>
    <row r="22" spans="1:10" ht="27.6" x14ac:dyDescent="0.3">
      <c r="F22" s="71"/>
    </row>
    <row r="23" spans="1:10" ht="9.75" customHeight="1" x14ac:dyDescent="0.3">
      <c r="F23" s="71"/>
    </row>
    <row r="24" spans="1:10" hidden="1" x14ac:dyDescent="0.3"/>
    <row r="25" spans="1:10" ht="27.6" x14ac:dyDescent="0.35">
      <c r="C25" s="71" t="s">
        <v>95</v>
      </c>
      <c r="D25" s="71"/>
      <c r="E25" s="71"/>
      <c r="F25" s="71"/>
      <c r="G25" s="91" t="s">
        <v>0</v>
      </c>
      <c r="H25" s="91" t="s">
        <v>9</v>
      </c>
      <c r="I25" s="93" t="s">
        <v>37</v>
      </c>
    </row>
    <row r="26" spans="1:10" ht="18" x14ac:dyDescent="0.35">
      <c r="G26" s="73" t="s">
        <v>3</v>
      </c>
      <c r="H26" s="72" t="s">
        <v>144</v>
      </c>
      <c r="I26" s="72" t="s">
        <v>96</v>
      </c>
    </row>
    <row r="27" spans="1:10" x14ac:dyDescent="0.3">
      <c r="G27" t="s">
        <v>87</v>
      </c>
    </row>
    <row r="30" spans="1:10" ht="36" x14ac:dyDescent="0.35">
      <c r="A30" s="91" t="s">
        <v>0</v>
      </c>
      <c r="B30" s="92" t="s">
        <v>9</v>
      </c>
      <c r="C30" s="92" t="s">
        <v>31</v>
      </c>
      <c r="D30" s="92" t="s">
        <v>12</v>
      </c>
      <c r="E30" s="92" t="s">
        <v>37</v>
      </c>
      <c r="F30" s="92" t="s">
        <v>45</v>
      </c>
      <c r="G30" s="84" t="s">
        <v>90</v>
      </c>
    </row>
    <row r="31" spans="1:10" ht="21" x14ac:dyDescent="0.4">
      <c r="A31" t="s">
        <v>87</v>
      </c>
      <c r="G31" s="85"/>
    </row>
  </sheetData>
  <mergeCells count="6">
    <mergeCell ref="G5:J6"/>
    <mergeCell ref="C1:E2"/>
    <mergeCell ref="F1:F2"/>
    <mergeCell ref="C3:D3"/>
    <mergeCell ref="C4:D4"/>
    <mergeCell ref="A5:D6"/>
  </mergeCells>
  <pageMargins left="0.25" right="0.25" top="0.75" bottom="0.75" header="0.3" footer="0.3"/>
  <pageSetup paperSize="9" scale="51" fitToHeight="0" orientation="landscape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7:G124"/>
  <sheetViews>
    <sheetView topLeftCell="B25" zoomScale="130" zoomScaleNormal="130" workbookViewId="0">
      <selection activeCell="D22" sqref="D22"/>
    </sheetView>
  </sheetViews>
  <sheetFormatPr defaultRowHeight="14.4" x14ac:dyDescent="0.3"/>
  <cols>
    <col min="1" max="1" width="32.44140625" customWidth="1"/>
    <col min="2" max="2" width="37" customWidth="1"/>
    <col min="3" max="3" width="18.88671875" style="1" bestFit="1" customWidth="1"/>
    <col min="4" max="4" width="44.6640625" style="29" customWidth="1"/>
    <col min="5" max="5" width="29.5546875" customWidth="1"/>
    <col min="6" max="6" width="30.33203125" customWidth="1"/>
    <col min="7" max="7" width="31.6640625" customWidth="1"/>
    <col min="8" max="8" width="30.33203125" customWidth="1"/>
  </cols>
  <sheetData>
    <row r="7" spans="1:7" x14ac:dyDescent="0.3">
      <c r="A7" s="123"/>
      <c r="B7" s="123"/>
      <c r="C7" s="123"/>
      <c r="D7" s="123"/>
      <c r="E7" s="123"/>
      <c r="F7" s="123"/>
      <c r="G7" s="123"/>
    </row>
    <row r="8" spans="1:7" ht="28.8" x14ac:dyDescent="0.3">
      <c r="A8" s="35" t="s">
        <v>9</v>
      </c>
      <c r="B8" s="35" t="s">
        <v>0</v>
      </c>
      <c r="C8" s="127" t="s">
        <v>31</v>
      </c>
      <c r="D8" s="115" t="s">
        <v>102</v>
      </c>
      <c r="E8" s="103" t="s">
        <v>219</v>
      </c>
    </row>
    <row r="9" spans="1:7" x14ac:dyDescent="0.3">
      <c r="A9" s="101" t="s">
        <v>49</v>
      </c>
      <c r="B9" s="101" t="s">
        <v>176</v>
      </c>
      <c r="C9" s="102">
        <v>46090</v>
      </c>
      <c r="D9" s="101" t="s">
        <v>220</v>
      </c>
      <c r="E9" s="112">
        <v>2802.13</v>
      </c>
    </row>
    <row r="10" spans="1:7" x14ac:dyDescent="0.3">
      <c r="A10" s="104" t="s">
        <v>49</v>
      </c>
      <c r="B10" s="101" t="s">
        <v>23</v>
      </c>
      <c r="C10" s="102">
        <v>46099</v>
      </c>
      <c r="D10" s="101" t="s">
        <v>220</v>
      </c>
      <c r="E10" s="112">
        <v>4756.9629999999997</v>
      </c>
    </row>
    <row r="11" spans="1:7" x14ac:dyDescent="0.3">
      <c r="A11" s="104" t="s">
        <v>49</v>
      </c>
      <c r="B11" s="101" t="s">
        <v>191</v>
      </c>
      <c r="C11" s="102">
        <v>46096</v>
      </c>
      <c r="D11" s="101" t="s">
        <v>220</v>
      </c>
      <c r="E11" s="112">
        <v>4610.7539999999999</v>
      </c>
    </row>
    <row r="12" spans="1:7" x14ac:dyDescent="0.3">
      <c r="A12" s="104" t="s">
        <v>49</v>
      </c>
      <c r="B12" s="101" t="s">
        <v>5</v>
      </c>
      <c r="C12" s="102">
        <v>46082</v>
      </c>
      <c r="D12" s="101" t="s">
        <v>220</v>
      </c>
      <c r="E12" s="112">
        <v>3300.1390000000001</v>
      </c>
    </row>
    <row r="13" spans="1:7" x14ac:dyDescent="0.3">
      <c r="A13" s="104" t="s">
        <v>49</v>
      </c>
      <c r="B13" s="101" t="s">
        <v>209</v>
      </c>
      <c r="C13" s="102">
        <v>46104</v>
      </c>
      <c r="D13" s="101" t="s">
        <v>220</v>
      </c>
      <c r="E13" s="112">
        <v>5019.62</v>
      </c>
    </row>
    <row r="14" spans="1:7" x14ac:dyDescent="0.3">
      <c r="A14" s="104" t="s">
        <v>49</v>
      </c>
      <c r="B14" s="101" t="s">
        <v>210</v>
      </c>
      <c r="C14" s="102">
        <v>46108</v>
      </c>
      <c r="D14" s="101" t="s">
        <v>220</v>
      </c>
      <c r="E14" s="112">
        <v>3761.5230000000001</v>
      </c>
    </row>
    <row r="15" spans="1:7" x14ac:dyDescent="0.3">
      <c r="A15" s="101" t="s">
        <v>59</v>
      </c>
      <c r="B15" s="101" t="s">
        <v>7</v>
      </c>
      <c r="C15" s="102">
        <v>46090</v>
      </c>
      <c r="D15" s="101" t="s">
        <v>220</v>
      </c>
      <c r="E15" s="112">
        <v>3235.3490000000002</v>
      </c>
    </row>
    <row r="16" spans="1:7" x14ac:dyDescent="0.3">
      <c r="A16" s="104" t="s">
        <v>59</v>
      </c>
      <c r="B16" s="101" t="s">
        <v>2</v>
      </c>
      <c r="C16" s="102">
        <v>46093</v>
      </c>
      <c r="D16" s="101" t="s">
        <v>220</v>
      </c>
      <c r="E16" s="112">
        <v>4019.038</v>
      </c>
    </row>
    <row r="17" spans="1:5" x14ac:dyDescent="0.3">
      <c r="A17" s="104" t="s">
        <v>59</v>
      </c>
      <c r="B17" s="101" t="s">
        <v>176</v>
      </c>
      <c r="C17" s="102">
        <v>46082</v>
      </c>
      <c r="D17" s="101" t="s">
        <v>220</v>
      </c>
      <c r="E17" s="112">
        <v>2800.0630000000001</v>
      </c>
    </row>
    <row r="18" spans="1:5" x14ac:dyDescent="0.3">
      <c r="A18" s="104" t="s">
        <v>59</v>
      </c>
      <c r="B18" s="104" t="s">
        <v>176</v>
      </c>
      <c r="C18" s="102">
        <v>46096</v>
      </c>
      <c r="D18" s="101" t="s">
        <v>220</v>
      </c>
      <c r="E18" s="112">
        <v>2800.1619999999998</v>
      </c>
    </row>
    <row r="19" spans="1:5" x14ac:dyDescent="0.3">
      <c r="A19" s="104" t="s">
        <v>59</v>
      </c>
      <c r="B19" s="104" t="s">
        <v>176</v>
      </c>
      <c r="C19" s="102">
        <v>46106</v>
      </c>
      <c r="D19" s="101" t="s">
        <v>220</v>
      </c>
      <c r="E19" s="112">
        <v>2812.44</v>
      </c>
    </row>
    <row r="20" spans="1:5" x14ac:dyDescent="0.3">
      <c r="A20" s="104" t="s">
        <v>59</v>
      </c>
      <c r="B20" s="101" t="s">
        <v>4</v>
      </c>
      <c r="C20" s="102">
        <v>46083</v>
      </c>
      <c r="D20" s="101" t="s">
        <v>220</v>
      </c>
      <c r="E20" s="112">
        <v>4009.127</v>
      </c>
    </row>
    <row r="21" spans="1:5" x14ac:dyDescent="0.3">
      <c r="A21" s="104" t="s">
        <v>59</v>
      </c>
      <c r="B21" s="104" t="s">
        <v>4</v>
      </c>
      <c r="C21" s="102">
        <v>46092</v>
      </c>
      <c r="D21" s="101" t="s">
        <v>220</v>
      </c>
      <c r="E21" s="112">
        <v>4015.4270000000001</v>
      </c>
    </row>
    <row r="22" spans="1:5" x14ac:dyDescent="0.3">
      <c r="A22" s="104" t="s">
        <v>59</v>
      </c>
      <c r="B22" s="101" t="s">
        <v>173</v>
      </c>
      <c r="C22" s="102">
        <v>46086</v>
      </c>
      <c r="D22" s="101" t="s">
        <v>220</v>
      </c>
      <c r="E22" s="112">
        <v>2879.7809999999999</v>
      </c>
    </row>
    <row r="23" spans="1:5" x14ac:dyDescent="0.3">
      <c r="A23" s="104" t="s">
        <v>59</v>
      </c>
      <c r="B23" s="101" t="s">
        <v>63</v>
      </c>
      <c r="C23" s="102">
        <v>46088</v>
      </c>
      <c r="D23" s="101" t="s">
        <v>220</v>
      </c>
      <c r="E23" s="112">
        <v>4600.24</v>
      </c>
    </row>
    <row r="24" spans="1:5" x14ac:dyDescent="0.3">
      <c r="A24" s="104" t="s">
        <v>59</v>
      </c>
      <c r="B24" s="101" t="s">
        <v>177</v>
      </c>
      <c r="C24" s="102">
        <v>46088</v>
      </c>
      <c r="D24" s="101" t="s">
        <v>220</v>
      </c>
      <c r="E24" s="112">
        <v>4350.0519999999997</v>
      </c>
    </row>
    <row r="25" spans="1:5" x14ac:dyDescent="0.3">
      <c r="A25" s="104" t="s">
        <v>59</v>
      </c>
      <c r="B25" s="101" t="s">
        <v>175</v>
      </c>
      <c r="C25" s="102">
        <v>46089</v>
      </c>
      <c r="D25" s="101" t="s">
        <v>220</v>
      </c>
      <c r="E25" s="112">
        <v>3725.46</v>
      </c>
    </row>
    <row r="26" spans="1:5" x14ac:dyDescent="0.3">
      <c r="A26" s="104" t="s">
        <v>59</v>
      </c>
      <c r="B26" s="104" t="s">
        <v>175</v>
      </c>
      <c r="C26" s="102">
        <v>46098</v>
      </c>
      <c r="D26" s="101" t="s">
        <v>220</v>
      </c>
      <c r="E26" s="112">
        <v>3700.7159999999999</v>
      </c>
    </row>
    <row r="27" spans="1:5" x14ac:dyDescent="0.3">
      <c r="A27" s="104" t="s">
        <v>59</v>
      </c>
      <c r="B27" s="104" t="s">
        <v>175</v>
      </c>
      <c r="C27" s="102">
        <v>46109</v>
      </c>
      <c r="D27" s="101" t="s">
        <v>220</v>
      </c>
      <c r="E27" s="112">
        <v>3668.1</v>
      </c>
    </row>
    <row r="28" spans="1:5" x14ac:dyDescent="0.3">
      <c r="A28" s="104" t="s">
        <v>59</v>
      </c>
      <c r="B28" s="101" t="s">
        <v>23</v>
      </c>
      <c r="C28" s="102">
        <v>46091</v>
      </c>
      <c r="D28" s="101" t="s">
        <v>220</v>
      </c>
      <c r="E28" s="112">
        <v>4751.2169999999996</v>
      </c>
    </row>
    <row r="29" spans="1:5" x14ac:dyDescent="0.3">
      <c r="A29" s="104" t="s">
        <v>59</v>
      </c>
      <c r="B29" s="101" t="s">
        <v>192</v>
      </c>
      <c r="C29" s="102">
        <v>46101</v>
      </c>
      <c r="D29" s="101" t="s">
        <v>220</v>
      </c>
      <c r="E29" s="112">
        <v>1971.59</v>
      </c>
    </row>
    <row r="30" spans="1:5" x14ac:dyDescent="0.3">
      <c r="A30" s="104" t="s">
        <v>59</v>
      </c>
      <c r="B30" s="101" t="s">
        <v>5</v>
      </c>
      <c r="C30" s="102">
        <v>46091</v>
      </c>
      <c r="D30" s="101" t="s">
        <v>220</v>
      </c>
      <c r="E30" s="112">
        <v>3301.9459999999999</v>
      </c>
    </row>
    <row r="31" spans="1:5" x14ac:dyDescent="0.3">
      <c r="A31" s="104" t="s">
        <v>59</v>
      </c>
      <c r="B31" s="104" t="s">
        <v>5</v>
      </c>
      <c r="C31" s="102">
        <v>46103</v>
      </c>
      <c r="D31" s="101" t="s">
        <v>220</v>
      </c>
      <c r="E31" s="112">
        <v>2803.48</v>
      </c>
    </row>
    <row r="32" spans="1:5" x14ac:dyDescent="0.3">
      <c r="A32" s="104" t="s">
        <v>59</v>
      </c>
      <c r="B32" s="101" t="s">
        <v>210</v>
      </c>
      <c r="C32" s="102">
        <v>46110</v>
      </c>
      <c r="D32" s="101" t="s">
        <v>220</v>
      </c>
      <c r="E32" s="112">
        <v>819.62099999999998</v>
      </c>
    </row>
    <row r="33" spans="1:5" x14ac:dyDescent="0.3">
      <c r="A33" s="101" t="s">
        <v>19</v>
      </c>
      <c r="B33" s="101" t="s">
        <v>63</v>
      </c>
      <c r="C33" s="102">
        <v>46100</v>
      </c>
      <c r="D33" s="101" t="s">
        <v>220</v>
      </c>
      <c r="E33" s="112">
        <v>4680.1400000000003</v>
      </c>
    </row>
    <row r="34" spans="1:5" x14ac:dyDescent="0.3">
      <c r="A34" s="95" t="s">
        <v>207</v>
      </c>
      <c r="B34" s="95" t="s">
        <v>7</v>
      </c>
      <c r="C34" s="98">
        <v>46102</v>
      </c>
      <c r="D34" s="95" t="s">
        <v>220</v>
      </c>
      <c r="E34" s="113">
        <v>3207.54</v>
      </c>
    </row>
    <row r="35" spans="1:5" x14ac:dyDescent="0.3">
      <c r="C35"/>
      <c r="D35"/>
    </row>
    <row r="36" spans="1:5" x14ac:dyDescent="0.3">
      <c r="C36"/>
      <c r="D36"/>
    </row>
    <row r="37" spans="1:5" x14ac:dyDescent="0.3">
      <c r="C37"/>
      <c r="D37"/>
    </row>
    <row r="38" spans="1:5" x14ac:dyDescent="0.3">
      <c r="C38"/>
      <c r="D38"/>
    </row>
    <row r="39" spans="1:5" x14ac:dyDescent="0.3">
      <c r="C39"/>
      <c r="D39"/>
    </row>
    <row r="40" spans="1:5" x14ac:dyDescent="0.3">
      <c r="C40"/>
      <c r="D40"/>
    </row>
    <row r="41" spans="1:5" x14ac:dyDescent="0.3">
      <c r="C41"/>
      <c r="D41"/>
    </row>
    <row r="42" spans="1:5" x14ac:dyDescent="0.3">
      <c r="C42"/>
      <c r="D42"/>
    </row>
    <row r="43" spans="1:5" x14ac:dyDescent="0.3">
      <c r="C43"/>
      <c r="D43"/>
    </row>
    <row r="44" spans="1:5" x14ac:dyDescent="0.3">
      <c r="C44"/>
      <c r="D44"/>
    </row>
    <row r="45" spans="1:5" x14ac:dyDescent="0.3">
      <c r="C45"/>
      <c r="D45"/>
    </row>
    <row r="46" spans="1:5" x14ac:dyDescent="0.3">
      <c r="C46"/>
      <c r="D46"/>
    </row>
    <row r="47" spans="1:5" x14ac:dyDescent="0.3">
      <c r="C47"/>
      <c r="D47"/>
    </row>
    <row r="48" spans="1:5" x14ac:dyDescent="0.3">
      <c r="C48"/>
      <c r="D48"/>
    </row>
    <row r="49" spans="3:4" x14ac:dyDescent="0.3">
      <c r="C49"/>
      <c r="D49"/>
    </row>
    <row r="50" spans="3:4" x14ac:dyDescent="0.3">
      <c r="C50"/>
      <c r="D50"/>
    </row>
    <row r="51" spans="3:4" x14ac:dyDescent="0.3">
      <c r="C51"/>
      <c r="D51"/>
    </row>
    <row r="52" spans="3:4" x14ac:dyDescent="0.3">
      <c r="C52"/>
      <c r="D52"/>
    </row>
    <row r="53" spans="3:4" x14ac:dyDescent="0.3">
      <c r="C53"/>
      <c r="D53"/>
    </row>
    <row r="54" spans="3:4" x14ac:dyDescent="0.3">
      <c r="C54"/>
      <c r="D54"/>
    </row>
    <row r="55" spans="3:4" x14ac:dyDescent="0.3">
      <c r="C55"/>
      <c r="D55"/>
    </row>
    <row r="56" spans="3:4" x14ac:dyDescent="0.3">
      <c r="C56"/>
      <c r="D56"/>
    </row>
    <row r="57" spans="3:4" x14ac:dyDescent="0.3">
      <c r="C57"/>
      <c r="D57"/>
    </row>
    <row r="58" spans="3:4" x14ac:dyDescent="0.3">
      <c r="C58"/>
      <c r="D58"/>
    </row>
    <row r="59" spans="3:4" x14ac:dyDescent="0.3">
      <c r="C59"/>
      <c r="D59"/>
    </row>
    <row r="60" spans="3:4" x14ac:dyDescent="0.3">
      <c r="C60"/>
      <c r="D60"/>
    </row>
    <row r="61" spans="3:4" x14ac:dyDescent="0.3">
      <c r="C61"/>
      <c r="D61"/>
    </row>
    <row r="62" spans="3:4" x14ac:dyDescent="0.3">
      <c r="C62"/>
      <c r="D62"/>
    </row>
    <row r="63" spans="3:4" x14ac:dyDescent="0.3">
      <c r="C63"/>
      <c r="D63"/>
    </row>
    <row r="64" spans="3:4" x14ac:dyDescent="0.3">
      <c r="C64"/>
      <c r="D64"/>
    </row>
    <row r="65" spans="3:4" x14ac:dyDescent="0.3">
      <c r="C65"/>
      <c r="D65"/>
    </row>
    <row r="66" spans="3:4" x14ac:dyDescent="0.3">
      <c r="C66"/>
      <c r="D66"/>
    </row>
    <row r="67" spans="3:4" x14ac:dyDescent="0.3">
      <c r="C67"/>
      <c r="D67"/>
    </row>
    <row r="68" spans="3:4" x14ac:dyDescent="0.3">
      <c r="C68"/>
      <c r="D68"/>
    </row>
    <row r="69" spans="3:4" x14ac:dyDescent="0.3">
      <c r="C69"/>
      <c r="D69"/>
    </row>
    <row r="70" spans="3:4" x14ac:dyDescent="0.3">
      <c r="C70"/>
      <c r="D70"/>
    </row>
    <row r="71" spans="3:4" x14ac:dyDescent="0.3">
      <c r="C71"/>
      <c r="D71"/>
    </row>
    <row r="72" spans="3:4" x14ac:dyDescent="0.3">
      <c r="C72"/>
      <c r="D72"/>
    </row>
    <row r="73" spans="3:4" x14ac:dyDescent="0.3">
      <c r="C73"/>
      <c r="D73"/>
    </row>
    <row r="74" spans="3:4" x14ac:dyDescent="0.3">
      <c r="C74"/>
      <c r="D74"/>
    </row>
    <row r="75" spans="3:4" x14ac:dyDescent="0.3">
      <c r="C75"/>
      <c r="D75"/>
    </row>
    <row r="76" spans="3:4" x14ac:dyDescent="0.3">
      <c r="C76"/>
      <c r="D76"/>
    </row>
    <row r="77" spans="3:4" x14ac:dyDescent="0.3">
      <c r="C77"/>
      <c r="D77"/>
    </row>
    <row r="78" spans="3:4" x14ac:dyDescent="0.3">
      <c r="C78"/>
      <c r="D78"/>
    </row>
    <row r="79" spans="3:4" x14ac:dyDescent="0.3">
      <c r="C79"/>
      <c r="D79"/>
    </row>
    <row r="80" spans="3:4" x14ac:dyDescent="0.3">
      <c r="C80"/>
      <c r="D80"/>
    </row>
    <row r="81" spans="3:4" x14ac:dyDescent="0.3">
      <c r="C81"/>
      <c r="D81"/>
    </row>
    <row r="82" spans="3:4" x14ac:dyDescent="0.3">
      <c r="C82"/>
      <c r="D82"/>
    </row>
    <row r="83" spans="3:4" x14ac:dyDescent="0.3">
      <c r="C83"/>
      <c r="D83"/>
    </row>
    <row r="84" spans="3:4" x14ac:dyDescent="0.3">
      <c r="C84"/>
      <c r="D84"/>
    </row>
    <row r="85" spans="3:4" x14ac:dyDescent="0.3">
      <c r="C85"/>
      <c r="D85"/>
    </row>
    <row r="86" spans="3:4" x14ac:dyDescent="0.3">
      <c r="C86"/>
      <c r="D86"/>
    </row>
    <row r="87" spans="3:4" x14ac:dyDescent="0.3">
      <c r="C87"/>
      <c r="D87"/>
    </row>
    <row r="88" spans="3:4" x14ac:dyDescent="0.3">
      <c r="C88"/>
      <c r="D88"/>
    </row>
    <row r="89" spans="3:4" x14ac:dyDescent="0.3">
      <c r="C89"/>
      <c r="D89"/>
    </row>
    <row r="90" spans="3:4" x14ac:dyDescent="0.3">
      <c r="C90"/>
      <c r="D90"/>
    </row>
    <row r="91" spans="3:4" x14ac:dyDescent="0.3">
      <c r="C91"/>
      <c r="D91"/>
    </row>
    <row r="92" spans="3:4" x14ac:dyDescent="0.3">
      <c r="C92"/>
      <c r="D92"/>
    </row>
    <row r="93" spans="3:4" x14ac:dyDescent="0.3">
      <c r="C93"/>
      <c r="D93"/>
    </row>
    <row r="94" spans="3:4" x14ac:dyDescent="0.3">
      <c r="C94"/>
      <c r="D94"/>
    </row>
    <row r="95" spans="3:4" x14ac:dyDescent="0.3">
      <c r="C95"/>
      <c r="D95"/>
    </row>
    <row r="96" spans="3:4" x14ac:dyDescent="0.3">
      <c r="C96"/>
      <c r="D96"/>
    </row>
    <row r="97" spans="3:4" x14ac:dyDescent="0.3">
      <c r="C97"/>
      <c r="D97"/>
    </row>
    <row r="98" spans="3:4" x14ac:dyDescent="0.3">
      <c r="C98"/>
      <c r="D98"/>
    </row>
    <row r="99" spans="3:4" x14ac:dyDescent="0.3">
      <c r="C99"/>
      <c r="D99"/>
    </row>
    <row r="100" spans="3:4" x14ac:dyDescent="0.3">
      <c r="C100"/>
      <c r="D100"/>
    </row>
    <row r="101" spans="3:4" x14ac:dyDescent="0.3">
      <c r="C101"/>
      <c r="D101"/>
    </row>
    <row r="102" spans="3:4" x14ac:dyDescent="0.3">
      <c r="C102"/>
      <c r="D102"/>
    </row>
    <row r="103" spans="3:4" x14ac:dyDescent="0.3">
      <c r="C103"/>
      <c r="D103"/>
    </row>
    <row r="104" spans="3:4" x14ac:dyDescent="0.3">
      <c r="C104"/>
      <c r="D104"/>
    </row>
    <row r="105" spans="3:4" x14ac:dyDescent="0.3">
      <c r="C105"/>
      <c r="D105"/>
    </row>
    <row r="106" spans="3:4" x14ac:dyDescent="0.3">
      <c r="C106"/>
      <c r="D106"/>
    </row>
    <row r="107" spans="3:4" x14ac:dyDescent="0.3">
      <c r="C107"/>
      <c r="D107"/>
    </row>
    <row r="108" spans="3:4" x14ac:dyDescent="0.3">
      <c r="C108"/>
      <c r="D108"/>
    </row>
    <row r="109" spans="3:4" x14ac:dyDescent="0.3">
      <c r="C109"/>
      <c r="D109"/>
    </row>
    <row r="110" spans="3:4" x14ac:dyDescent="0.3">
      <c r="C110"/>
      <c r="D110"/>
    </row>
    <row r="111" spans="3:4" x14ac:dyDescent="0.3">
      <c r="C111"/>
      <c r="D111"/>
    </row>
    <row r="112" spans="3:4" x14ac:dyDescent="0.3">
      <c r="C112"/>
      <c r="D112"/>
    </row>
    <row r="113" spans="3:4" x14ac:dyDescent="0.3">
      <c r="C113"/>
      <c r="D113"/>
    </row>
    <row r="114" spans="3:4" x14ac:dyDescent="0.3">
      <c r="C114"/>
      <c r="D114"/>
    </row>
    <row r="115" spans="3:4" x14ac:dyDescent="0.3">
      <c r="C115"/>
      <c r="D115"/>
    </row>
    <row r="116" spans="3:4" x14ac:dyDescent="0.3">
      <c r="C116"/>
      <c r="D116"/>
    </row>
    <row r="117" spans="3:4" x14ac:dyDescent="0.3">
      <c r="C117"/>
      <c r="D117"/>
    </row>
    <row r="118" spans="3:4" x14ac:dyDescent="0.3">
      <c r="C118"/>
      <c r="D118"/>
    </row>
    <row r="119" spans="3:4" x14ac:dyDescent="0.3">
      <c r="C119"/>
      <c r="D119"/>
    </row>
    <row r="120" spans="3:4" x14ac:dyDescent="0.3">
      <c r="C120"/>
      <c r="D120"/>
    </row>
    <row r="121" spans="3:4" x14ac:dyDescent="0.3">
      <c r="C121"/>
      <c r="D121"/>
    </row>
    <row r="122" spans="3:4" x14ac:dyDescent="0.3">
      <c r="C122"/>
      <c r="D122"/>
    </row>
    <row r="123" spans="3:4" x14ac:dyDescent="0.3">
      <c r="C123"/>
      <c r="D123"/>
    </row>
    <row r="124" spans="3:4" x14ac:dyDescent="0.3">
      <c r="C124"/>
      <c r="D124"/>
    </row>
  </sheetData>
  <mergeCells count="1">
    <mergeCell ref="A7:G7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:J33"/>
  <sheetViews>
    <sheetView workbookViewId="0">
      <selection activeCell="E27" sqref="E27"/>
    </sheetView>
  </sheetViews>
  <sheetFormatPr defaultRowHeight="14.4" x14ac:dyDescent="0.3"/>
  <cols>
    <col min="3" max="3" width="44.6640625" customWidth="1"/>
    <col min="4" max="4" width="29.6640625" customWidth="1"/>
    <col min="5" max="5" width="40.44140625" customWidth="1"/>
    <col min="6" max="6" width="22" customWidth="1"/>
    <col min="7" max="7" width="26.44140625" customWidth="1"/>
    <col min="8" max="8" width="19.6640625" customWidth="1"/>
    <col min="10" max="10" width="47.33203125" customWidth="1"/>
  </cols>
  <sheetData>
    <row r="1" spans="3:10" x14ac:dyDescent="0.3">
      <c r="C1" t="s">
        <v>1</v>
      </c>
      <c r="D1" t="s">
        <v>24</v>
      </c>
      <c r="E1" t="s">
        <v>22</v>
      </c>
      <c r="G1" t="s">
        <v>26</v>
      </c>
      <c r="H1" t="s">
        <v>205</v>
      </c>
      <c r="J1" t="s">
        <v>22</v>
      </c>
    </row>
    <row r="2" spans="3:10" x14ac:dyDescent="0.3">
      <c r="C2" t="s">
        <v>2</v>
      </c>
      <c r="D2" t="s">
        <v>25</v>
      </c>
      <c r="E2" t="s">
        <v>74</v>
      </c>
      <c r="F2" t="s">
        <v>138</v>
      </c>
      <c r="G2" t="s">
        <v>27</v>
      </c>
      <c r="H2" t="s">
        <v>206</v>
      </c>
      <c r="J2" t="s">
        <v>68</v>
      </c>
    </row>
    <row r="3" spans="3:10" x14ac:dyDescent="0.3">
      <c r="C3" t="s">
        <v>3</v>
      </c>
      <c r="D3" t="s">
        <v>26</v>
      </c>
      <c r="E3" t="s">
        <v>85</v>
      </c>
      <c r="F3" t="s">
        <v>75</v>
      </c>
      <c r="G3" t="s">
        <v>179</v>
      </c>
      <c r="J3" t="s">
        <v>69</v>
      </c>
    </row>
    <row r="4" spans="3:10" x14ac:dyDescent="0.3">
      <c r="C4" t="s">
        <v>4</v>
      </c>
      <c r="D4" t="s">
        <v>27</v>
      </c>
      <c r="E4" t="s">
        <v>86</v>
      </c>
      <c r="F4" t="s">
        <v>40</v>
      </c>
      <c r="J4" t="s">
        <v>70</v>
      </c>
    </row>
    <row r="5" spans="3:10" x14ac:dyDescent="0.3">
      <c r="C5" t="s">
        <v>5</v>
      </c>
      <c r="D5" t="s">
        <v>28</v>
      </c>
      <c r="E5" t="s">
        <v>108</v>
      </c>
      <c r="J5" t="s">
        <v>71</v>
      </c>
    </row>
    <row r="6" spans="3:10" x14ac:dyDescent="0.3">
      <c r="C6" t="s">
        <v>6</v>
      </c>
      <c r="D6" t="s">
        <v>114</v>
      </c>
      <c r="E6" t="s">
        <v>143</v>
      </c>
      <c r="J6" t="s">
        <v>72</v>
      </c>
    </row>
    <row r="7" spans="3:10" x14ac:dyDescent="0.3">
      <c r="C7" t="s">
        <v>7</v>
      </c>
      <c r="D7" t="s">
        <v>124</v>
      </c>
      <c r="E7" t="s">
        <v>69</v>
      </c>
      <c r="J7" t="s">
        <v>97</v>
      </c>
    </row>
    <row r="8" spans="3:10" x14ac:dyDescent="0.3">
      <c r="C8" t="s">
        <v>8</v>
      </c>
      <c r="D8" t="s">
        <v>179</v>
      </c>
      <c r="E8" t="s">
        <v>70</v>
      </c>
      <c r="J8" t="s">
        <v>40</v>
      </c>
    </row>
    <row r="9" spans="3:10" x14ac:dyDescent="0.3">
      <c r="C9" t="s">
        <v>15</v>
      </c>
      <c r="E9" t="s">
        <v>155</v>
      </c>
      <c r="J9" t="s">
        <v>73</v>
      </c>
    </row>
    <row r="10" spans="3:10" x14ac:dyDescent="0.3">
      <c r="C10" t="s">
        <v>23</v>
      </c>
      <c r="E10" t="s">
        <v>71</v>
      </c>
      <c r="J10" t="s">
        <v>74</v>
      </c>
    </row>
    <row r="11" spans="3:10" x14ac:dyDescent="0.3">
      <c r="C11" t="s">
        <v>61</v>
      </c>
      <c r="D11" t="str">
        <f>PROPER(C11)</f>
        <v xml:space="preserve"> Т/Х Ugah Confidence</v>
      </c>
      <c r="E11" t="s">
        <v>110</v>
      </c>
      <c r="J11" t="s">
        <v>85</v>
      </c>
    </row>
    <row r="12" spans="3:10" x14ac:dyDescent="0.3">
      <c r="C12" t="s">
        <v>64</v>
      </c>
      <c r="E12" t="s">
        <v>40</v>
      </c>
      <c r="J12" t="s">
        <v>86</v>
      </c>
    </row>
    <row r="13" spans="3:10" x14ac:dyDescent="0.3">
      <c r="C13" t="s">
        <v>63</v>
      </c>
      <c r="E13" t="s">
        <v>72</v>
      </c>
      <c r="J13" t="s">
        <v>96</v>
      </c>
    </row>
    <row r="14" spans="3:10" x14ac:dyDescent="0.3">
      <c r="C14" t="s">
        <v>65</v>
      </c>
      <c r="E14" t="s">
        <v>107</v>
      </c>
      <c r="J14" t="s">
        <v>98</v>
      </c>
    </row>
    <row r="15" spans="3:10" x14ac:dyDescent="0.3">
      <c r="C15" t="s">
        <v>83</v>
      </c>
      <c r="E15" t="s">
        <v>112</v>
      </c>
    </row>
    <row r="16" spans="3:10" x14ac:dyDescent="0.3">
      <c r="C16" t="s">
        <v>173</v>
      </c>
      <c r="E16" t="s">
        <v>111</v>
      </c>
    </row>
    <row r="17" spans="3:5" x14ac:dyDescent="0.3">
      <c r="C17" t="s">
        <v>175</v>
      </c>
      <c r="E17" t="s">
        <v>142</v>
      </c>
    </row>
    <row r="18" spans="3:5" x14ac:dyDescent="0.3">
      <c r="C18" t="s">
        <v>176</v>
      </c>
      <c r="E18" t="s">
        <v>109</v>
      </c>
    </row>
    <row r="19" spans="3:5" x14ac:dyDescent="0.3">
      <c r="C19" t="s">
        <v>177</v>
      </c>
      <c r="E19" t="s">
        <v>96</v>
      </c>
    </row>
    <row r="20" spans="3:5" x14ac:dyDescent="0.3">
      <c r="C20" t="s">
        <v>191</v>
      </c>
      <c r="E20" t="s">
        <v>98</v>
      </c>
    </row>
    <row r="21" spans="3:5" x14ac:dyDescent="0.3">
      <c r="C21" t="s">
        <v>192</v>
      </c>
      <c r="E21" t="s">
        <v>73</v>
      </c>
    </row>
    <row r="22" spans="3:5" x14ac:dyDescent="0.3">
      <c r="C22" t="s">
        <v>193</v>
      </c>
    </row>
    <row r="23" spans="3:5" x14ac:dyDescent="0.3">
      <c r="C23" t="s">
        <v>209</v>
      </c>
    </row>
    <row r="24" spans="3:5" x14ac:dyDescent="0.3">
      <c r="C24" t="s">
        <v>210</v>
      </c>
    </row>
    <row r="25" spans="3:5" x14ac:dyDescent="0.3">
      <c r="C25" t="s">
        <v>211</v>
      </c>
    </row>
    <row r="33" spans="5:6" x14ac:dyDescent="0.3">
      <c r="E33" t="s">
        <v>178</v>
      </c>
      <c r="F33" t="str">
        <f>PROPER(E33)</f>
        <v> Evrika (Imo: 9154567,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"01;8F0 "01;8F0 "01;8F0 "01;8F0 "01;8F0 "01;8F0 
</file>

<file path=customXml/item3.xml>�� 
</file>

<file path=customXml/item4.xml>�� "01;8F0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
</file>

<file path=customXml/item5.xml>�� "01;>3@C7 "01;>3@C7 !C<<0  ?>  AB>;1FC  5A  ?> !C<<0  ?>  AB>;1FC  5A  ?> $>@<C;0 !C<<0  ?>  AB>;1FC  5A  ?> =0G5=85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!C<<0  ?>  AB>;1FC  5A  ?> 5A  ?> !C<<0  ?>  AB>;1FC  5A  ?> 5A  ?> !C<<0  ?>  AB>;1FC  5A  ?> 5A  ?> !C<<0  ?>  AB>;1FC  5A  ?> !C<<0  ?>  AB>;1FC  5A  ?> $>@<C;0 !C<<0  ?>  AB>;1FC  5A  ?> =0G5=85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!C<<0  ?>  AB>;1FC  5A  ?> 5A  ?> !C<<0  ?>  AB>;1FC  5A  ?> 5A  ?> !C<<0  ?>  AB>;1FC  5A  ?> 5A  ?> "01;>3@C7:0>@O: "01;>3@C7:0>@O: !C<<0  ?>  AB>;1FC  5A    ?>3@C65==K9 !C<<0  ?>  AB>;1FC  5A    ?>3@C65==K9 $>@<C;0 !C<<0  ?>  AB>;1FC  5A    ?>3@C65==K9 =0G5=85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!C<<0  ?>  AB>;1FC  5A    ?>3@C65==K9 5A    ?>3@C65==K9 !C<<0  ?>  AB>;1FC  5A    ?>3@C65==K9 5A    ?>3@C65==K9 !C<<0  ?>  AB>;1FC  5A    ?>3@C65==K9 5A    ?>3@C65==K9 !C<<0  ?>  AB>;1FC  5A    ?>3@C65==K9 !C<<0  ?>  AB>;1FC  5A    ?>3@C65==K9 $>@<C;0 !C<<0  ?>  AB>;1FC  5A    ?>3@C65==K9 =0G5=85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!C<<0  ?>  AB>;1FC  5A    ?>3@C65==K9 5A    ?>3@C65==K9 !C<<0  ?>  AB>;1FC  5A    ?>3@C65==K9 5A    ?>3@C65==K9 !C<<0  ?>  AB>;1FC  5A    ?>3@C65==K9 5A    ?>3@C65==K9 "01;K3@C7:0 "01;K3@C7:0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"01;>3@C7:0>@O: "01;K3@C7:0 "01;>3@C7 "01;>3@C7:0>@O: "01;>3@C7:0>@O: "% "01;>3@C7:0>@O: !B0BCA "01;>3@C7:0>@O: ?5@0F8O "01;>3@C7:0>@O: 5A    ?>3@C65==K9 "01;>3@C7:0>@O: 0:>?8B5;L "01;>3@C7:0>@O: 0B0    =0G0;0    3@C7>2KE  >?5@0F89 "01;>3@C7:0>@O: 0B0    >:>=G0=8O  3@C7>2KE  >?5@0F89 "01;>3@C7:0>@O: >@A:>5  !C4=> "01;>3@C7:0>@O: 0B0    A>AB02;5=8O >@A:>3>  !C4=0 "01;>3@C7:0>@O: B?@028B5;L "01;>3@C7:0>@O: "01;>3@C7:0>@O: 0B0  =0?@02;5=8O  C254><;5=8O "01;>3@C7:0>@O: "01;>3@C7:0>@O: @>872. 545;O "01;>3@C7:0>@O: <5AOF "01;>3@C7:0>@O: 3>4 "01;>3@C7:0>@O: !C<<0  ?>  AB>;1FC  5A    ?>3@C65==K9 "01;>3@C7:0>@O:\ !C<<0  ?>  AB>;1FC  5A    ?>3@C65==K9 5O2=0O  <5@0 "01;K3@C7:0 "01;K3@C7:0 "% "01;K3@C7:0 !B0BCA "01;K3@C7:0 ?5@0F8O "01;K3@C7:0 5A  ?> "01;K3@C7:0 5A    2K3@C65==K9  2  =0:>?8B5;L "01;K3@C7:0  073@C7:0 "01;K3@C7:0 0B0    =0G0;0    3@C7>2KE  >?5@0F89 "01;K3@C7:0 0B0    >:>=G0=8O  3@C7>2KE  >?5@0F89 "01;K3@C7:0 0B0    A>AB02;5=8O @5G=8: "01;K3@C7:0 0:>?8B5;L "01;K3@C7:0 B?@028B5;L "01;K3@C7:0 "01;K3@C7:0 0B0  =0?@02;5=8O  C254><;5=8O "01;>3@C7 "01;>3@C7 "% "01;>3@C7 >@B    ?>3@C7:8 "01;>3@C7 ?5@0F8O "01;>3@C7 !B0BCA   59A>2>3>    7040=8O "01;>3@C7 5A    :    ?>3@C7:5    B= "01;>3@C7 5A  ?> "01;>3@C7 ?>3@C7:0 "01;>3@C7 0B0    =0G0;0    3@C7>2KE  >?5@0F89 "01;>3@C7 0B0    >:>=G0=8O  3@C7>2KE  >?5@0F89 "01;>3@C7 0B0    A>AB02;5=8O "01;>3@C7 ;0=    >B3@C7:8 "01;>3@C7 B?@028B5;L "01;>3@C7 !N@255@ "01;>3@C7 5A    =0    1>@BC      4>    =0G0;0    3@C7>2KE  >?5@0F89 "01;>3@C7 5A    =0    1>@BC      ?>A;5    >:>=G0=8O 3@C7>2KE  >?5@0F89 "01;>3@C7 "01;>3@C7 >4 "01;>3@C7 5AOF "01;>3@C7 545;O "01;>3@C7 0B0    A>AB02;5=8O >4 "01;>3@C7 0B0    A>AB02;5=8O 20@B0; "01;>3@C7 0B0    A>AB02;5=8O =45:A  <5AOF0 "01;>3@C7 0B0    A>AB02;5=8O 5AOF "01;>3@C7 !C<<0  ?>  AB>;1FC  5A  ?> "01;>3@C7\ !C<<0  ?>  AB>;1FC  5A  ?> 5O2=0O  <5@0 "01;K3@C7:0 "01;>3@C7 "01;K3@C7:0 "01;>3@C7 "01;K3@C7:0 "01;>3@C7 "01;K3@C7:0 "01;>3@C7 "01;>3@C7:0>@O: "01;>3@C7 "01;>3@C7:0>@O: "01;>3@C7 "01;>3@C7:0>@O: "01;>3@C7 "01;>3@C7:0>@O: "01;>3@C7 "01;K3@C7:0 "01;>3@C7:0>@O: "01;K3@C7:0 "01;>3@C7 "01;>3@C7:0>@O: "01;>3@C7:0>@O: "% "01;>3@C7:0>@O: !B0BCA "01;>3@C7:0>@O: ?5@0F8O "01;>3@C7:0>@O: 5A    ?>3@C65==K9 "01;>3@C7:0>@O: 0:>?8B5;L "01;>3@C7:0>@O: 0B0    =0G0;0    3@C7>2KE  >?5@0F89 "01;>3@C7:0>@O: 0B0    >:>=G0=8O  3@C7>2KE  >?5@0F89 "01;>3@C7:0>@O: >@A:>5  !C4=> "01;>3@C7:0>@O: 0B0    A>AB02;5=8O >@A:>3>  !C4=0 "01;>3@C7:0>@O: B?@028B5;L "01;>3@C7:0>@O: "01;>3@C7:0>@O: 0B0  =0?@02;5=8O  C254><;5=8O "01;>3@C7:0>@O: "01;>3@C7:0>@O: @>872. 545;O "01;>3@C7:0>@O: <5AOF "01;>3@C7:0>@O: 3>4 "01;>3@C7:0>@O: !C<<0  ?>  AB>;1FC  5A    ?>3@C65==K9 "01;>3@C7:0>@O:\ !C<<0  ?>  AB>;1FC  5A    ?>3@C65==K9 5O2=0O  <5@0 "01;K3@C7:0 "01;K3@C7:0 "% "01;K3@C7:0 !B0BCA "01;K3@C7:0 ?5@0F8O "01;K3@C7:0 5A  ?> "01;K3@C7:0 5A    2K3@C65==K9  2  =0:>?8B5;L "01;K3@C7:0  073@C7:0 "01;K3@C7:0 0B0    =0G0;0    3@C7>2KE  >?5@0F89 "01;K3@C7:0 0B0    >:>=G0=8O  3@C7>2KE  >?5@0F89 "01;K3@C7:0 0B0    A>AB02;5=8O @5G=8: "01;K3@C7:0 0:>?8B5;L "01;K3@C7:0 B?@028B5;L "01;K3@C7:0 "01;K3@C7:0 0B0  =0?@02;5=8O  C254><;5=8O "01;>3@C7 "01;>3@C7 "% "01;>3@C7 >@B    ?>3@C7:8 "01;>3@C7 ?5@0F8O "01;>3@C7 !B0BCA   59A>2>3>    7040=8O "01;>3@C7 5A    :    ?>3@C7:5    B= "01;>3@C7 5A  ?> "01;>3@C7 ?>3@C7:0 "01;>3@C7 0B0    =0G0;0    3@C7>2KE  >?5@0F89 "01;>3@C7 0B0    >:>=G0=8O  3@C7>2KE  >?5@0F89 "01;>3@C7 0B0    A>AB02;5=8O "01;>3@C7 ;0=    >B3@C7:8 "01;>3@C7 B?@028B5;L "01;>3@C7 !N@255@ "01;>3@C7 5A    =0    1>@BC      4>    =0G0;0    3@C7>2KE  >?5@0F89 "01;>3@C7 5A    =0    1>@BC      ?>A;5    >:>=G0=8O 3@C7>2KE  >?5@0F89 "01;>3@C7 "01;>3@C7 >4 "01;>3@C7 5AOF "01;>3@C7 545;O "01;>3@C7 0B0    A>AB02;5=8O >4 "01;>3@C7 0B0    A>AB02;5=8O 20@B0; "01;>3@C7 0B0    A>AB02;5=8O =45:A  <5AOF0 "01;>3@C7 0B0    A>AB02;5=8O 5AOF "01;>3@C7 !C<<0  ?>  AB>;1FC  5A  ?> "01;>3@C7\ !C<<0  ?>  AB>;1FC  5A  ?> 5O2=0O  <5@0 "01;K3@C7:0 "01;>3@C7 >=5G=0O  B>G:0 >=5G=0O  B>G:0 "01;K3@C7:0 "01;>3@C7 "01;K3@C7:0 "01;>3@C7 "01;K3@C7:0 "01;>3@C7 "01;>3@C7:0>@O: "01;>3@C7 >=5G=0O  B>G:0 >=5G=0O  B>G:0 "01;>3@C7:0>@O: "01;>3@C7 "01;>3@C7:0>@O: "01;>3@C7 "01;>3@C7:0>@O: "01;>3@C7 
</file>

<file path=customXml/item6.xml>�� 
</file>

<file path=customXml/item7.xml>�� "01;>3@C7:0>@O: "01;>3@C7:0>@O: "% !B0BCA ?5@0F8O 5A    ?>3@C65==K9 0:>?8B5;L 0B0    =0G0;0    3@C7>2KE  >?5@0F89 0B0    >:>=G0=8O  3@C7>2KE  >?5@0F89 >@A:>5  !C4=> 0B0    A>AB02;5=8O >@A:>3>  !C4=0 B?@028B5;L 0B0  =0?@02;5=8O  C254><;5=8O @>872. 545;O <5AOF 3>4 "01;>3@C7 "01;>3@C7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"01;K3@C7:0 "01;K3@C7:0 "% !B0BCA ?5@0F8O 5A  ?> 5A    2K3@C65==K9  2  =0:>?8B5;L  073@C7:0 0B0    =0G0;0    3@C7>2KE  >?5@0F89 0B0    >:>=G0=8O  3@C7>2KE  >?5@0F89 0B0    A>AB02;5=8O @5G=8: 0:>?8B5;L B?@028B5;L 0B0  =0?@02;5=8O  C254><;5=8O 
</file>

<file path=customXml/item8.xml>�� 
</file>

<file path=customXml/item9.xml>�� 
</file>

<file path=customXml/item10.xml>�� 
</file>

<file path=customXml/item11.xml>�� "01;8F0 
</file>

<file path=customXml/item12.xml>�� 
</file>

<file path=customXml/item13.xml>�� "01;8F0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"% >@B    ?>3@C7:8 ?5@0F8O !B0BCA   59A>2>3>    7040=8O 5A    :    ?>3@C7:5    B= 5A  ?> ?>3@C7:0 0B0    =0G0;0    3@C7>2KE  >?5@0F89 0B0    >:>=G0=8O  3@C7>2KE  >?5@0F89 0B0    A>AB02;5=8O ;0=    >B3@C7:8 B?@028B5;L !N@255@ 5A    =0    1>@BC      4>    =0G0;0    3@C7>2KE  >?5@0F89 5A    =0    1>@BC      ?>A;5    >:>=G0=8O 3@C7>2KE  >?5@0F89 >4 5AOF 545;O 0B0    A>AB02;5=8O >4 0B0    A>AB02;5=8O 20@B0; 0B0    A>AB02;5=8O =45:A  <5AOF0 0B0    A>AB02;5=8O 5AOF 
</file>

<file path=customXml/item14.xml>�� 
</file>

<file path=customXml/item15.xml>�� "01;8F0 "% !B0BCA ?5@0F8O 0:>?8B5;L 0B0    =0G0;0    3@C7>2KE  >?5@0F89 0B0    >:>=G0=8O  3@C7>2KE  >?5@0F89 0B0    A>AB02;5=8O >@A:>3>  !C4=0 >@A:>5  !C4=> 5A    ?>3@C65==K9 B?@028B5;L 0B0  =0?@02;5=8O  C254><;5=8O @>872. 545;O <5AOF 3>4 "% !B0BCA ?5@0F8O 0:>?8B5;L 0B0    =0G0;0    3@C7>2KE  >?5@0F89 0B0    >:>=G0=8O  3@C7>2KE  >?5@0F89 0B0    A>AB02;5=8O >@A:>3>  !C4=0 >@A:>5  !C4=> 5A    ?>3@C65==K9 B?@028B5;L 0B0  =0?@02;5=8O  C254><;5=8O @>872. 545;O <5AOF 3>4 
</file>

<file path=customXml/item16.xml>�� "01;8F01 , "01;8F01 6 , "01;8F0 
</file>

<file path=customXml/item17.xml>�� 
</file>

<file path=customXml/item18.xml>�� 
</file>

<file path=customXml/item19.xml>�� "01;8F0 "01;8F0 "01;8F0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469145CF-E6C7-4B54-A48D-2B6425B7A3B9}">
  <ds:schemaRefs/>
</ds:datastoreItem>
</file>

<file path=customXml/itemProps2.xml><?xml version="1.0" encoding="utf-8"?>
<ds:datastoreItem xmlns:ds="http://schemas.openxmlformats.org/officeDocument/2006/customXml" ds:itemID="{42B8A7B8-AC95-479C-A2E3-8EC9FC738E43}">
  <ds:schemaRefs/>
</ds:datastoreItem>
</file>

<file path=customXml/itemProps3.xml><?xml version="1.0" encoding="utf-8"?>
<ds:datastoreItem xmlns:ds="http://schemas.openxmlformats.org/officeDocument/2006/customXml" ds:itemID="{77C71757-9DB2-4CB5-9296-6ED7BB5985B9}">
  <ds:schemaRefs/>
</ds:datastoreItem>
</file>

<file path=customXml/itemProps4.xml><?xml version="1.0" encoding="utf-8"?>
<ds:datastoreItem xmlns:ds="http://schemas.openxmlformats.org/officeDocument/2006/customXml" ds:itemID="{2FE4383A-CF8A-4FA1-88CA-78C0BF80810C}">
  <ds:schemaRefs/>
</ds:datastoreItem>
</file>

<file path=customXml/itemProps5.xml><?xml version="1.0" encoding="utf-8"?>
<ds:datastoreItem xmlns:ds="http://schemas.openxmlformats.org/officeDocument/2006/customXml" ds:itemID="{67C186FE-A603-4DC9-AB2D-C75DBB3C3E20}">
  <ds:schemaRefs/>
</ds:datastoreItem>
</file>

<file path=customXml/itemProps6.xml><?xml version="1.0" encoding="utf-8"?>
<ds:datastoreItem xmlns:ds="http://schemas.openxmlformats.org/officeDocument/2006/customXml" ds:itemID="{B928B838-DCED-4456-A87F-894EC7CC6CB6}">
  <ds:schemaRefs/>
</ds:datastoreItem>
</file>

<file path=customXml/itemProps7.xml><?xml version="1.0" encoding="utf-8"?>
<ds:datastoreItem xmlns:ds="http://schemas.openxmlformats.org/officeDocument/2006/customXml" ds:itemID="{6624F03F-588E-42B1-9972-09F51EAF073E}">
  <ds:schemaRefs/>
</ds:datastoreItem>
</file>

<file path=customXml/itemProps8.xml><?xml version="1.0" encoding="utf-8"?>
<ds:datastoreItem xmlns:ds="http://schemas.openxmlformats.org/officeDocument/2006/customXml" ds:itemID="{C3B7AAF5-92DE-4DBA-BB14-4AB43C34584C}">
  <ds:schemaRefs/>
</ds:datastoreItem>
</file>

<file path=customXml/itemProps9.xml><?xml version="1.0" encoding="utf-8"?>
<ds:datastoreItem xmlns:ds="http://schemas.openxmlformats.org/officeDocument/2006/customXml" ds:itemID="{BAFDE3E5-B684-4E9E-8D1D-8F83097241B5}">
  <ds:schemaRefs/>
</ds:datastoreItem>
</file>

<file path=customXml/itemProps10.xml><?xml version="1.0" encoding="utf-8"?>
<ds:datastoreItem xmlns:ds="http://schemas.openxmlformats.org/officeDocument/2006/customXml" ds:itemID="{DE4AD7AA-86E8-48CF-9B41-C443BBFCBA04}">
  <ds:schemaRefs/>
</ds:datastoreItem>
</file>

<file path=customXml/itemProps11.xml><?xml version="1.0" encoding="utf-8"?>
<ds:datastoreItem xmlns:ds="http://schemas.openxmlformats.org/officeDocument/2006/customXml" ds:itemID="{ACEDB305-E474-4BA0-89C2-E7CFED72CBC2}">
  <ds:schemaRefs/>
</ds:datastoreItem>
</file>

<file path=customXml/itemProps12.xml><?xml version="1.0" encoding="utf-8"?>
<ds:datastoreItem xmlns:ds="http://schemas.openxmlformats.org/officeDocument/2006/customXml" ds:itemID="{450F714B-6F33-42FE-B1D6-B540825B3D14}">
  <ds:schemaRefs/>
</ds:datastoreItem>
</file>

<file path=customXml/itemProps13.xml><?xml version="1.0" encoding="utf-8"?>
<ds:datastoreItem xmlns:ds="http://schemas.openxmlformats.org/officeDocument/2006/customXml" ds:itemID="{957C28E9-D356-498B-BA04-8404EFD3C487}">
  <ds:schemaRefs/>
</ds:datastoreItem>
</file>

<file path=customXml/itemProps14.xml><?xml version="1.0" encoding="utf-8"?>
<ds:datastoreItem xmlns:ds="http://schemas.openxmlformats.org/officeDocument/2006/customXml" ds:itemID="{639BD215-E23F-4011-8716-5C721B0A733E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A535E7CD-DDEE-409C-AAA0-166BDFC34237}">
  <ds:schemaRefs/>
</ds:datastoreItem>
</file>

<file path=customXml/itemProps16.xml><?xml version="1.0" encoding="utf-8"?>
<ds:datastoreItem xmlns:ds="http://schemas.openxmlformats.org/officeDocument/2006/customXml" ds:itemID="{1C0CF236-4F48-4AFA-963D-DFE4AFC2572A}">
  <ds:schemaRefs/>
</ds:datastoreItem>
</file>

<file path=customXml/itemProps17.xml><?xml version="1.0" encoding="utf-8"?>
<ds:datastoreItem xmlns:ds="http://schemas.openxmlformats.org/officeDocument/2006/customXml" ds:itemID="{0DAB37FD-72EE-4972-94D8-971E01C54362}">
  <ds:schemaRefs/>
</ds:datastoreItem>
</file>

<file path=customXml/itemProps18.xml><?xml version="1.0" encoding="utf-8"?>
<ds:datastoreItem xmlns:ds="http://schemas.openxmlformats.org/officeDocument/2006/customXml" ds:itemID="{2D5F188D-3F06-42AC-9FBD-C519D71B4148}">
  <ds:schemaRefs/>
</ds:datastoreItem>
</file>

<file path=customXml/itemProps19.xml><?xml version="1.0" encoding="utf-8"?>
<ds:datastoreItem xmlns:ds="http://schemas.openxmlformats.org/officeDocument/2006/customXml" ds:itemID="{B453A231-14E4-4A29-84E0-513CDA479E0A}">
  <ds:schemaRefs/>
</ds:datastoreItem>
</file>

<file path=customXml/itemProps20.xml><?xml version="1.0" encoding="utf-8"?>
<ds:datastoreItem xmlns:ds="http://schemas.openxmlformats.org/officeDocument/2006/customXml" ds:itemID="{ABA33C23-D9AB-4855-8B41-07AF2152E795}">
  <ds:schemaRefs/>
</ds:datastoreItem>
</file>

<file path=customXml/itemProps21.xml><?xml version="1.0" encoding="utf-8"?>
<ds:datastoreItem xmlns:ds="http://schemas.openxmlformats.org/officeDocument/2006/customXml" ds:itemID="{ACD25CE6-582F-4A60-8532-D6BE69A9AFC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</vt:i4>
      </vt:variant>
    </vt:vector>
  </HeadingPairs>
  <TitlesOfParts>
    <vt:vector size="11" baseType="lpstr">
      <vt:lpstr>ТаблПогруз</vt:lpstr>
      <vt:lpstr>ТарифРП</vt:lpstr>
      <vt:lpstr>ТаблВыгрузка</vt:lpstr>
      <vt:lpstr>ТаблПогрузкаМоряк</vt:lpstr>
      <vt:lpstr>ОтчПогрузМоряков</vt:lpstr>
      <vt:lpstr>ДляБух</vt:lpstr>
      <vt:lpstr>Сводка</vt:lpstr>
      <vt:lpstr>АналитикапоМесяцам</vt:lpstr>
      <vt:lpstr>Список</vt:lpstr>
      <vt:lpstr>Сводка!Область_печати</vt:lpstr>
      <vt:lpstr>ТарифРП!Область_печати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Маршанский Дмитрий Сергеевич</dc:creator>
  <cp:lastModifiedBy>Маршанский Дмитрий Сергеевич</cp:lastModifiedBy>
  <cp:lastPrinted>2026-02-09T08:58:00Z</cp:lastPrinted>
  <dcterms:created xsi:type="dcterms:W3CDTF">2015-06-05T18:19:34Z</dcterms:created>
  <dcterms:modified xsi:type="dcterms:W3CDTF">2026-04-06T07:03:58Z</dcterms:modified>
</cp:coreProperties>
</file>